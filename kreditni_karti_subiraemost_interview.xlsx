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и" sheetId="1" state="visible" r:id="rId1"/>
    <sheet name="Настройки" sheetId="2" state="visible" r:id="rId2"/>
    <sheet name="KPI" sheetId="3" state="visible" r:id="rId3"/>
    <sheet name="Задачи" sheetId="4" state="visible" r:id="rId4"/>
  </sheets>
  <definedNames>
    <definedName name="_xlnm._FilterDatabase" localSheetId="0" hidden="1">'Данни'!$A$1:$P$61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5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0" pivotButton="0" quotePrefix="0" xfId="0"/>
    <xf numFmtId="0" fontId="0" fillId="3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1" fillId="2" borderId="1" pivotButton="0" quotePrefix="0" xfId="0"/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Остатък по служител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'KPI'!E13</f>
            </strRef>
          </tx>
          <spPr>
            <a:ln>
              <a:prstDash val="solid"/>
            </a:ln>
          </spPr>
          <cat>
            <numRef>
              <f>'KPI'!$A$14:$A$18</f>
            </numRef>
          </cat>
          <val>
            <numRef>
              <f>'KPI'!$E$14:$E$18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Служител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Остатък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rtfolioData" displayName="PortfolioData" ref="A1:P61" headerRowCount="1">
  <autoFilter ref="A1:P61"/>
  <tableColumns count="16">
    <tableColumn id="1" name="ID клиент"/>
    <tableColumn id="2" name="Клиент"/>
    <tableColumn id="3" name="Служител"/>
    <tableColumn id="4" name="Падеж"/>
    <tableColumn id="5" name="Дължима сума"/>
    <tableColumn id="6" name="Платена сума"/>
    <tableColumn id="7" name="Статус контакт"/>
    <tableColumn id="8" name="Обещана дата"/>
    <tableColumn id="9" name="Бележка"/>
    <tableColumn id="10" name="Остатък"/>
    <tableColumn id="11" name="Дни просрочие"/>
    <tableColumn id="12" name="Aging група"/>
    <tableColumn id="13" name="В обхват 1-30"/>
    <tableColumn id="14" name="Приоритет"/>
    <tableColumn id="15" name="Следващо действие"/>
    <tableColumn id="16" name="% платен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5" customWidth="1" min="5" max="5"/>
    <col width="14" customWidth="1" min="6" max="6"/>
    <col width="22" customWidth="1" min="7" max="7"/>
    <col width="14" customWidth="1" min="8" max="8"/>
    <col width="25" customWidth="1" min="9" max="9"/>
    <col width="13" customWidth="1" min="10" max="10"/>
    <col width="14" customWidth="1" min="11" max="11"/>
    <col width="15" customWidth="1" min="12" max="12"/>
    <col width="16" customWidth="1" min="13" max="13"/>
    <col width="13" customWidth="1" min="14" max="14"/>
    <col width="28" customWidth="1" min="15" max="15"/>
    <col width="11" customWidth="1" min="16" max="16"/>
  </cols>
  <sheetData>
    <row r="1">
      <c r="A1" s="1" t="inlineStr">
        <is>
          <t>ID клиент</t>
        </is>
      </c>
      <c r="B1" s="1" t="inlineStr">
        <is>
          <t>Клиент</t>
        </is>
      </c>
      <c r="C1" s="1" t="inlineStr">
        <is>
          <t>Служител</t>
        </is>
      </c>
      <c r="D1" s="1" t="inlineStr">
        <is>
          <t>Падеж</t>
        </is>
      </c>
      <c r="E1" s="1" t="inlineStr">
        <is>
          <t>Дължима сума</t>
        </is>
      </c>
      <c r="F1" s="1" t="inlineStr">
        <is>
          <t>Платена сума</t>
        </is>
      </c>
      <c r="G1" s="1" t="inlineStr">
        <is>
          <t>Статус контакт</t>
        </is>
      </c>
      <c r="H1" s="1" t="inlineStr">
        <is>
          <t>Обещана дата</t>
        </is>
      </c>
      <c r="I1" s="1" t="inlineStr">
        <is>
          <t>Бележка</t>
        </is>
      </c>
      <c r="J1" s="1" t="inlineStr">
        <is>
          <t>Остатък</t>
        </is>
      </c>
      <c r="K1" s="1" t="inlineStr">
        <is>
          <t>Дни просрочие</t>
        </is>
      </c>
      <c r="L1" s="1" t="inlineStr">
        <is>
          <t>Aging група</t>
        </is>
      </c>
      <c r="M1" s="1" t="inlineStr">
        <is>
          <t>В обхват 1-30</t>
        </is>
      </c>
      <c r="N1" s="1" t="inlineStr">
        <is>
          <t>Приоритет</t>
        </is>
      </c>
      <c r="O1" s="1" t="inlineStr">
        <is>
          <t>Следващо действие</t>
        </is>
      </c>
      <c r="P1" s="1" t="inlineStr">
        <is>
          <t>% платено</t>
        </is>
      </c>
    </row>
    <row r="2">
      <c r="A2" s="2" t="inlineStr">
        <is>
          <t>C001</t>
        </is>
      </c>
      <c r="B2" s="2" t="inlineStr">
        <is>
          <t>Иван Петров</t>
        </is>
      </c>
      <c r="C2" s="2" t="inlineStr">
        <is>
          <t>Мария</t>
        </is>
      </c>
      <c r="D2" s="3" t="n">
        <v>46174</v>
      </c>
      <c r="E2" s="4" t="n">
        <v>227</v>
      </c>
      <c r="F2" s="4" t="n">
        <v>0</v>
      </c>
      <c r="G2" s="2" t="inlineStr">
        <is>
          <t>Обещание за плащане</t>
        </is>
      </c>
      <c r="H2" s="3" t="n">
        <v>46199</v>
      </c>
      <c r="I2" s="2" t="inlineStr">
        <is>
          <t>Няма отговор</t>
        </is>
      </c>
      <c r="J2" s="4">
        <f>MAX(0,E2-F2)</f>
        <v/>
      </c>
      <c r="K2" s="2">
        <f>MAX(0,'Настройки'!$B$1-D2)</f>
        <v/>
      </c>
      <c r="L2" s="2">
        <f>IF(K2=0,"Непросрочен",IF(K2&lt;=5,"1-5 дни",IF(K2&lt;=15,"6-15 дни",IF(K2&lt;=30,"16-30 дни","30+ дни"))))</f>
        <v/>
      </c>
      <c r="M2" s="2">
        <f>IF(AND(K2&gt;=1,K2&lt;=30,J2&gt;0),"Да","Не")</f>
        <v/>
      </c>
      <c r="N2" s="2">
        <f>IF(J2=0,"Приключен",IF(AND(K2&gt;=16,K2&lt;=30,J2&gt;=500),"Висок",IF(OR(K2&gt;=16,J2&gt;=300),"Среден","Нисък")))</f>
        <v/>
      </c>
      <c r="O2" s="2">
        <f>IF(J2=0,"Няма действие",IF(G2="Неоткрит","Повторно обаждане + SMS",IF(G2="Обещание за плащане","Проследи обещанието",IF(G2="Отказва плащане","Ескалация към старши",IF(G2="Частично плащане","Договори остатъка","Стандартен контакт")))))</f>
        <v/>
      </c>
      <c r="P2" s="5">
        <f>IFERROR(F2/E2,0)</f>
        <v/>
      </c>
    </row>
    <row r="3">
      <c r="A3" s="2" t="inlineStr">
        <is>
          <t>C002</t>
        </is>
      </c>
      <c r="B3" s="2" t="inlineStr">
        <is>
          <t>Георги Иванов</t>
        </is>
      </c>
      <c r="C3" s="2" t="inlineStr">
        <is>
          <t>Петър</t>
        </is>
      </c>
      <c r="D3" s="3" t="n">
        <v>46175</v>
      </c>
      <c r="E3" s="4" t="n">
        <v>364</v>
      </c>
      <c r="F3" s="4" t="n">
        <v>0</v>
      </c>
      <c r="G3" s="2" t="inlineStr">
        <is>
          <t>Отказва плащане</t>
        </is>
      </c>
      <c r="H3" s="3" t="n"/>
      <c r="I3" s="2" t="inlineStr">
        <is>
          <t>Иска SMS с IBAN</t>
        </is>
      </c>
      <c r="J3" s="4">
        <f>MAX(0,E3-F3)</f>
        <v/>
      </c>
      <c r="K3" s="2">
        <f>MAX(0,'Настройки'!$B$1-D3)</f>
        <v/>
      </c>
      <c r="L3" s="2">
        <f>IF(K3=0,"Непросрочен",IF(K3&lt;=5,"1-5 дни",IF(K3&lt;=15,"6-15 дни",IF(K3&lt;=30,"16-30 дни","30+ дни"))))</f>
        <v/>
      </c>
      <c r="M3" s="2">
        <f>IF(AND(K3&gt;=1,K3&lt;=30,J3&gt;0),"Да","Не")</f>
        <v/>
      </c>
      <c r="N3" s="2">
        <f>IF(J3=0,"Приключен",IF(AND(K3&gt;=16,K3&lt;=30,J3&gt;=500),"Висок",IF(OR(K3&gt;=16,J3&gt;=300),"Среден","Нисък")))</f>
        <v/>
      </c>
      <c r="O3" s="2">
        <f>IF(J3=0,"Няма действие",IF(G3="Неоткрит","Повторно обаждане + SMS",IF(G3="Обещание за плащане","Проследи обещанието",IF(G3="Отказва плащане","Ескалация към старши",IF(G3="Частично плащане","Договори остатъка","Стандартен контакт")))))</f>
        <v/>
      </c>
      <c r="P3" s="5">
        <f>IFERROR(F3/E3,0)</f>
        <v/>
      </c>
    </row>
    <row r="4">
      <c r="A4" s="2" t="inlineStr">
        <is>
          <t>C003</t>
        </is>
      </c>
      <c r="B4" s="2" t="inlineStr">
        <is>
          <t>Десислава Николова</t>
        </is>
      </c>
      <c r="C4" s="2" t="inlineStr">
        <is>
          <t>Анна</t>
        </is>
      </c>
      <c r="D4" s="3" t="n">
        <v>46176</v>
      </c>
      <c r="E4" s="4" t="n">
        <v>501</v>
      </c>
      <c r="F4" s="4" t="n">
        <v>0</v>
      </c>
      <c r="G4" s="2" t="inlineStr">
        <is>
          <t>Неоткрит</t>
        </is>
      </c>
      <c r="H4" s="3" t="n"/>
      <c r="I4" s="2" t="inlineStr">
        <is>
          <t>Ще плати след заплата</t>
        </is>
      </c>
      <c r="J4" s="4">
        <f>MAX(0,E4-F4)</f>
        <v/>
      </c>
      <c r="K4" s="2">
        <f>MAX(0,'Настройки'!$B$1-D4)</f>
        <v/>
      </c>
      <c r="L4" s="2">
        <f>IF(K4=0,"Непросрочен",IF(K4&lt;=5,"1-5 дни",IF(K4&lt;=15,"6-15 дни",IF(K4&lt;=30,"16-30 дни","30+ дни"))))</f>
        <v/>
      </c>
      <c r="M4" s="2">
        <f>IF(AND(K4&gt;=1,K4&lt;=30,J4&gt;0),"Да","Не")</f>
        <v/>
      </c>
      <c r="N4" s="2">
        <f>IF(J4=0,"Приключен",IF(AND(K4&gt;=16,K4&lt;=30,J4&gt;=500),"Висок",IF(OR(K4&gt;=16,J4&gt;=300),"Среден","Нисък")))</f>
        <v/>
      </c>
      <c r="O4" s="2">
        <f>IF(J4=0,"Няма действие",IF(G4="Неоткрит","Повторно обаждане + SMS",IF(G4="Обещание за плащане","Проследи обещанието",IF(G4="Отказва плащане","Ескалация към старши",IF(G4="Частично плащане","Договори остатъка","Стандартен контакт")))))</f>
        <v/>
      </c>
      <c r="P4" s="5">
        <f>IFERROR(F4/E4,0)</f>
        <v/>
      </c>
    </row>
    <row r="5">
      <c r="A5" s="2" t="inlineStr">
        <is>
          <t>C004</t>
        </is>
      </c>
      <c r="B5" s="2" t="inlineStr">
        <is>
          <t>Николай Димитров</t>
        </is>
      </c>
      <c r="C5" s="2" t="inlineStr">
        <is>
          <t>Георги</t>
        </is>
      </c>
      <c r="D5" s="3" t="n">
        <v>46177</v>
      </c>
      <c r="E5" s="4" t="n">
        <v>638</v>
      </c>
      <c r="F5" s="4" t="n">
        <v>638</v>
      </c>
      <c r="G5" s="2" t="inlineStr">
        <is>
          <t>Платено</t>
        </is>
      </c>
      <c r="H5" s="3" t="n"/>
      <c r="I5" s="2" t="inlineStr">
        <is>
          <t>Платил частично</t>
        </is>
      </c>
      <c r="J5" s="4">
        <f>MAX(0,E5-F5)</f>
        <v/>
      </c>
      <c r="K5" s="2">
        <f>MAX(0,'Настройки'!$B$1-D5)</f>
        <v/>
      </c>
      <c r="L5" s="2">
        <f>IF(K5=0,"Непросрочен",IF(K5&lt;=5,"1-5 дни",IF(K5&lt;=15,"6-15 дни",IF(K5&lt;=30,"16-30 дни","30+ дни"))))</f>
        <v/>
      </c>
      <c r="M5" s="2">
        <f>IF(AND(K5&gt;=1,K5&lt;=30,J5&gt;0),"Да","Не")</f>
        <v/>
      </c>
      <c r="N5" s="2">
        <f>IF(J5=0,"Приключен",IF(AND(K5&gt;=16,K5&lt;=30,J5&gt;=500),"Висок",IF(OR(K5&gt;=16,J5&gt;=300),"Среден","Нисък")))</f>
        <v/>
      </c>
      <c r="O5" s="2">
        <f>IF(J5=0,"Няма действие",IF(G5="Неоткрит","Повторно обаждане + SMS",IF(G5="Обещание за плащане","Проследи обещанието",IF(G5="Отказва плащане","Ескалация към старши",IF(G5="Частично плащане","Договори остатъка","Стандартен контакт")))))</f>
        <v/>
      </c>
      <c r="P5" s="5">
        <f>IFERROR(F5/E5,0)</f>
        <v/>
      </c>
    </row>
    <row r="6">
      <c r="A6" s="2" t="inlineStr">
        <is>
          <t>C005</t>
        </is>
      </c>
      <c r="B6" s="2" t="inlineStr">
        <is>
          <t>Елена Георгиева</t>
        </is>
      </c>
      <c r="C6" s="2" t="inlineStr">
        <is>
          <t>Ива</t>
        </is>
      </c>
      <c r="D6" s="3" t="n">
        <v>46178</v>
      </c>
      <c r="E6" s="4" t="n">
        <v>775</v>
      </c>
      <c r="F6" s="4" t="n">
        <v>0</v>
      </c>
      <c r="G6" s="2" t="inlineStr">
        <is>
          <t>Отказва плащане</t>
        </is>
      </c>
      <c r="H6" s="3" t="n"/>
      <c r="I6" s="2" t="inlineStr">
        <is>
          <t>Оспорва начисление</t>
        </is>
      </c>
      <c r="J6" s="4">
        <f>MAX(0,E6-F6)</f>
        <v/>
      </c>
      <c r="K6" s="2">
        <f>MAX(0,'Настройки'!$B$1-D6)</f>
        <v/>
      </c>
      <c r="L6" s="2">
        <f>IF(K6=0,"Непросрочен",IF(K6&lt;=5,"1-5 дни",IF(K6&lt;=15,"6-15 дни",IF(K6&lt;=30,"16-30 дни","30+ дни"))))</f>
        <v/>
      </c>
      <c r="M6" s="2">
        <f>IF(AND(K6&gt;=1,K6&lt;=30,J6&gt;0),"Да","Не")</f>
        <v/>
      </c>
      <c r="N6" s="2">
        <f>IF(J6=0,"Приключен",IF(AND(K6&gt;=16,K6&lt;=30,J6&gt;=500),"Висок",IF(OR(K6&gt;=16,J6&gt;=300),"Среден","Нисък")))</f>
        <v/>
      </c>
      <c r="O6" s="2">
        <f>IF(J6=0,"Няма действие",IF(G6="Неоткрит","Повторно обаждане + SMS",IF(G6="Обещание за плащане","Проследи обещанието",IF(G6="Отказва плащане","Ескалация към старши",IF(G6="Частично плащане","Договори остатъка","Стандартен контакт")))))</f>
        <v/>
      </c>
      <c r="P6" s="5">
        <f>IFERROR(F6/E6,0)</f>
        <v/>
      </c>
    </row>
    <row r="7">
      <c r="A7" s="2" t="inlineStr">
        <is>
          <t>C006</t>
        </is>
      </c>
      <c r="B7" s="2" t="inlineStr">
        <is>
          <t>Стефан Колев</t>
        </is>
      </c>
      <c r="C7" s="2" t="inlineStr">
        <is>
          <t>Мария</t>
        </is>
      </c>
      <c r="D7" s="3" t="n">
        <v>46174</v>
      </c>
      <c r="E7" s="4" t="n">
        <v>912</v>
      </c>
      <c r="F7" s="4" t="n">
        <v>0</v>
      </c>
      <c r="G7" s="2" t="inlineStr">
        <is>
          <t>Неоткрит</t>
        </is>
      </c>
      <c r="H7" s="3" t="n"/>
      <c r="I7" s="2" t="inlineStr">
        <is>
          <t>Потвърдено плащане</t>
        </is>
      </c>
      <c r="J7" s="4">
        <f>MAX(0,E7-F7)</f>
        <v/>
      </c>
      <c r="K7" s="2">
        <f>MAX(0,'Настройки'!$B$1-D7)</f>
        <v/>
      </c>
      <c r="L7" s="2">
        <f>IF(K7=0,"Непросрочен",IF(K7&lt;=5,"1-5 дни",IF(K7&lt;=15,"6-15 дни",IF(K7&lt;=30,"16-30 дни","30+ дни"))))</f>
        <v/>
      </c>
      <c r="M7" s="2">
        <f>IF(AND(K7&gt;=1,K7&lt;=30,J7&gt;0),"Да","Не")</f>
        <v/>
      </c>
      <c r="N7" s="2">
        <f>IF(J7=0,"Приключен",IF(AND(K7&gt;=16,K7&lt;=30,J7&gt;=500),"Висок",IF(OR(K7&gt;=16,J7&gt;=300),"Среден","Нисък")))</f>
        <v/>
      </c>
      <c r="O7" s="2">
        <f>IF(J7=0,"Няма действие",IF(G7="Неоткрит","Повторно обаждане + SMS",IF(G7="Обещание за плащане","Проследи обещанието",IF(G7="Отказва плащане","Ескалация към старши",IF(G7="Частично плащане","Договори остатъка","Стандартен контакт")))))</f>
        <v/>
      </c>
      <c r="P7" s="5">
        <f>IFERROR(F7/E7,0)</f>
        <v/>
      </c>
    </row>
    <row r="8">
      <c r="A8" s="2" t="inlineStr">
        <is>
          <t>C007</t>
        </is>
      </c>
      <c r="B8" s="2" t="inlineStr">
        <is>
          <t>Виктория Стоянова</t>
        </is>
      </c>
      <c r="C8" s="2" t="inlineStr">
        <is>
          <t>Петър</t>
        </is>
      </c>
      <c r="D8" s="3" t="n">
        <v>46175</v>
      </c>
      <c r="E8" s="4" t="n">
        <v>1049</v>
      </c>
      <c r="F8" s="4" t="n">
        <v>398.62</v>
      </c>
      <c r="G8" s="2" t="inlineStr">
        <is>
          <t>Частично плащане</t>
        </is>
      </c>
      <c r="H8" s="3" t="n"/>
      <c r="I8" s="2" t="inlineStr">
        <is>
          <t>Нужен втори контакт</t>
        </is>
      </c>
      <c r="J8" s="4">
        <f>MAX(0,E8-F8)</f>
        <v/>
      </c>
      <c r="K8" s="2">
        <f>MAX(0,'Настройки'!$B$1-D8)</f>
        <v/>
      </c>
      <c r="L8" s="2">
        <f>IF(K8=0,"Непросрочен",IF(K8&lt;=5,"1-5 дни",IF(K8&lt;=15,"6-15 дни",IF(K8&lt;=30,"16-30 дни","30+ дни"))))</f>
        <v/>
      </c>
      <c r="M8" s="2">
        <f>IF(AND(K8&gt;=1,K8&lt;=30,J8&gt;0),"Да","Не")</f>
        <v/>
      </c>
      <c r="N8" s="2">
        <f>IF(J8=0,"Приключен",IF(AND(K8&gt;=16,K8&lt;=30,J8&gt;=500),"Висок",IF(OR(K8&gt;=16,J8&gt;=300),"Среден","Нисък")))</f>
        <v/>
      </c>
      <c r="O8" s="2">
        <f>IF(J8=0,"Няма действие",IF(G8="Неоткрит","Повторно обаждане + SMS",IF(G8="Обещание за плащане","Проследи обещанието",IF(G8="Отказва плащане","Ескалация към старши",IF(G8="Частично плащане","Договори остатъка","Стандартен контакт")))))</f>
        <v/>
      </c>
      <c r="P8" s="5">
        <f>IFERROR(F8/E8,0)</f>
        <v/>
      </c>
    </row>
    <row r="9">
      <c r="A9" s="2" t="inlineStr">
        <is>
          <t>C008</t>
        </is>
      </c>
      <c r="B9" s="2" t="inlineStr">
        <is>
          <t>Христо Ангелов</t>
        </is>
      </c>
      <c r="C9" s="2" t="inlineStr">
        <is>
          <t>Анна</t>
        </is>
      </c>
      <c r="D9" s="3" t="n">
        <v>46176</v>
      </c>
      <c r="E9" s="4" t="n">
        <v>1186</v>
      </c>
      <c r="F9" s="4" t="n">
        <v>1186</v>
      </c>
      <c r="G9" s="2" t="inlineStr">
        <is>
          <t>Платено</t>
        </is>
      </c>
      <c r="H9" s="3" t="n"/>
      <c r="I9" s="2" t="inlineStr">
        <is>
          <t>Да се провери лимит</t>
        </is>
      </c>
      <c r="J9" s="4">
        <f>MAX(0,E9-F9)</f>
        <v/>
      </c>
      <c r="K9" s="2">
        <f>MAX(0,'Настройки'!$B$1-D9)</f>
        <v/>
      </c>
      <c r="L9" s="2">
        <f>IF(K9=0,"Непросрочен",IF(K9&lt;=5,"1-5 дни",IF(K9&lt;=15,"6-15 дни",IF(K9&lt;=30,"16-30 дни","30+ дни"))))</f>
        <v/>
      </c>
      <c r="M9" s="2">
        <f>IF(AND(K9&gt;=1,K9&lt;=30,J9&gt;0),"Да","Не")</f>
        <v/>
      </c>
      <c r="N9" s="2">
        <f>IF(J9=0,"Приключен",IF(AND(K9&gt;=16,K9&lt;=30,J9&gt;=500),"Висок",IF(OR(K9&gt;=16,J9&gt;=300),"Среден","Нисък")))</f>
        <v/>
      </c>
      <c r="O9" s="2">
        <f>IF(J9=0,"Няма действие",IF(G9="Неоткрит","Повторно обаждане + SMS",IF(G9="Обещание за плащане","Проследи обещанието",IF(G9="Отказва плащане","Ескалация към старши",IF(G9="Частично плащане","Договори остатъка","Стандартен контакт")))))</f>
        <v/>
      </c>
      <c r="P9" s="5">
        <f>IFERROR(F9/E9,0)</f>
        <v/>
      </c>
    </row>
    <row r="10">
      <c r="A10" s="2" t="inlineStr">
        <is>
          <t>C009</t>
        </is>
      </c>
      <c r="B10" s="2" t="inlineStr">
        <is>
          <t>Борислав Тодоров</t>
        </is>
      </c>
      <c r="C10" s="2" t="inlineStr">
        <is>
          <t>Георги</t>
        </is>
      </c>
      <c r="D10" s="3" t="n">
        <v>46177</v>
      </c>
      <c r="E10" s="4" t="n">
        <v>1323</v>
      </c>
      <c r="F10" s="4" t="n">
        <v>0</v>
      </c>
      <c r="G10" s="2" t="inlineStr">
        <is>
          <t>Обаден</t>
        </is>
      </c>
      <c r="H10" s="3" t="n"/>
      <c r="I10" s="2" t="inlineStr">
        <is>
          <t>Иска разсрочване</t>
        </is>
      </c>
      <c r="J10" s="4">
        <f>MAX(0,E10-F10)</f>
        <v/>
      </c>
      <c r="K10" s="2">
        <f>MAX(0,'Настройки'!$B$1-D10)</f>
        <v/>
      </c>
      <c r="L10" s="2">
        <f>IF(K10=0,"Непросрочен",IF(K10&lt;=5,"1-5 дни",IF(K10&lt;=15,"6-15 дни",IF(K10&lt;=30,"16-30 дни","30+ дни"))))</f>
        <v/>
      </c>
      <c r="M10" s="2">
        <f>IF(AND(K10&gt;=1,K10&lt;=30,J10&gt;0),"Да","Не")</f>
        <v/>
      </c>
      <c r="N10" s="2">
        <f>IF(J10=0,"Приключен",IF(AND(K10&gt;=16,K10&lt;=30,J10&gt;=500),"Висок",IF(OR(K10&gt;=16,J10&gt;=300),"Среден","Нисък")))</f>
        <v/>
      </c>
      <c r="O10" s="2">
        <f>IF(J10=0,"Няма действие",IF(G10="Неоткрит","Повторно обаждане + SMS",IF(G10="Обещание за плащане","Проследи обещанието",IF(G10="Отказва плащане","Ескалация към старши",IF(G10="Частично плащане","Договори остатъка","Стандартен контакт")))))</f>
        <v/>
      </c>
      <c r="P10" s="5">
        <f>IFERROR(F10/E10,0)</f>
        <v/>
      </c>
    </row>
    <row r="11">
      <c r="A11" s="2" t="inlineStr">
        <is>
          <t>C010</t>
        </is>
      </c>
      <c r="B11" s="2" t="inlineStr">
        <is>
          <t>Милена Христова</t>
        </is>
      </c>
      <c r="C11" s="2" t="inlineStr">
        <is>
          <t>Ива</t>
        </is>
      </c>
      <c r="D11" s="3" t="n">
        <v>46178</v>
      </c>
      <c r="E11" s="4" t="n">
        <v>1460</v>
      </c>
      <c r="F11" s="4" t="n">
        <v>321.2</v>
      </c>
      <c r="G11" s="2" t="inlineStr">
        <is>
          <t>Частично плащане</t>
        </is>
      </c>
      <c r="H11" s="3" t="n"/>
      <c r="I11" s="2" t="inlineStr">
        <is>
          <t>Кратък разговор</t>
        </is>
      </c>
      <c r="J11" s="4">
        <f>MAX(0,E11-F11)</f>
        <v/>
      </c>
      <c r="K11" s="2">
        <f>MAX(0,'Настройки'!$B$1-D11)</f>
        <v/>
      </c>
      <c r="L11" s="2">
        <f>IF(K11=0,"Непросрочен",IF(K11&lt;=5,"1-5 дни",IF(K11&lt;=15,"6-15 дни",IF(K11&lt;=30,"16-30 дни","30+ дни"))))</f>
        <v/>
      </c>
      <c r="M11" s="2">
        <f>IF(AND(K11&gt;=1,K11&lt;=30,J11&gt;0),"Да","Не")</f>
        <v/>
      </c>
      <c r="N11" s="2">
        <f>IF(J11=0,"Приключен",IF(AND(K11&gt;=16,K11&lt;=30,J11&gt;=500),"Висок",IF(OR(K11&gt;=16,J11&gt;=300),"Среден","Нисък")))</f>
        <v/>
      </c>
      <c r="O11" s="2">
        <f>IF(J11=0,"Няма действие",IF(G11="Неоткрит","Повторно обаждане + SMS",IF(G11="Обещание за плащане","Проследи обещанието",IF(G11="Отказва плащане","Ескалация към старши",IF(G11="Частично плащане","Договори остатъка","Стандартен контакт")))))</f>
        <v/>
      </c>
      <c r="P11" s="5">
        <f>IFERROR(F11/E11,0)</f>
        <v/>
      </c>
    </row>
    <row r="12">
      <c r="A12" s="2" t="inlineStr">
        <is>
          <t>C011</t>
        </is>
      </c>
      <c r="B12" s="2" t="inlineStr">
        <is>
          <t>Красимир Василев</t>
        </is>
      </c>
      <c r="C12" s="2" t="inlineStr">
        <is>
          <t>Мария</t>
        </is>
      </c>
      <c r="D12" s="3" t="n">
        <v>46174</v>
      </c>
      <c r="E12" s="4" t="n">
        <v>147</v>
      </c>
      <c r="F12" s="4" t="n">
        <v>147</v>
      </c>
      <c r="G12" s="2" t="inlineStr">
        <is>
          <t>Платено</t>
        </is>
      </c>
      <c r="H12" s="3" t="n"/>
      <c r="I12" s="2" t="inlineStr">
        <is>
          <t>Няма отговор</t>
        </is>
      </c>
      <c r="J12" s="4">
        <f>MAX(0,E12-F12)</f>
        <v/>
      </c>
      <c r="K12" s="2">
        <f>MAX(0,'Настройки'!$B$1-D12)</f>
        <v/>
      </c>
      <c r="L12" s="2">
        <f>IF(K12=0,"Непросрочен",IF(K12&lt;=5,"1-5 дни",IF(K12&lt;=15,"6-15 дни",IF(K12&lt;=30,"16-30 дни","30+ дни"))))</f>
        <v/>
      </c>
      <c r="M12" s="2">
        <f>IF(AND(K12&gt;=1,K12&lt;=30,J12&gt;0),"Да","Не")</f>
        <v/>
      </c>
      <c r="N12" s="2">
        <f>IF(J12=0,"Приключен",IF(AND(K12&gt;=16,K12&lt;=30,J12&gt;=500),"Висок",IF(OR(K12&gt;=16,J12&gt;=300),"Среден","Нисък")))</f>
        <v/>
      </c>
      <c r="O12" s="2">
        <f>IF(J12=0,"Няма действие",IF(G12="Неоткрит","Повторно обаждане + SMS",IF(G12="Обещание за плащане","Проследи обещанието",IF(G12="Отказва плащане","Ескалация към старши",IF(G12="Частично плащане","Договори остатъка","Стандартен контакт")))))</f>
        <v/>
      </c>
      <c r="P12" s="5">
        <f>IFERROR(F12/E12,0)</f>
        <v/>
      </c>
    </row>
    <row r="13">
      <c r="A13" s="2" t="inlineStr">
        <is>
          <t>C012</t>
        </is>
      </c>
      <c r="B13" s="2" t="inlineStr">
        <is>
          <t>Цветелина Маринова</t>
        </is>
      </c>
      <c r="C13" s="2" t="inlineStr">
        <is>
          <t>Петър</t>
        </is>
      </c>
      <c r="D13" s="3" t="n">
        <v>46175</v>
      </c>
      <c r="E13" s="4" t="n">
        <v>284</v>
      </c>
      <c r="F13" s="4" t="n">
        <v>0</v>
      </c>
      <c r="G13" s="2" t="inlineStr">
        <is>
          <t>Обаден</t>
        </is>
      </c>
      <c r="H13" s="3" t="n"/>
      <c r="I13" s="2" t="inlineStr">
        <is>
          <t>Иска SMS с IBAN</t>
        </is>
      </c>
      <c r="J13" s="4">
        <f>MAX(0,E13-F13)</f>
        <v/>
      </c>
      <c r="K13" s="2">
        <f>MAX(0,'Настройки'!$B$1-D13)</f>
        <v/>
      </c>
      <c r="L13" s="2">
        <f>IF(K13=0,"Непросрочен",IF(K13&lt;=5,"1-5 дни",IF(K13&lt;=15,"6-15 дни",IF(K13&lt;=30,"16-30 дни","30+ дни"))))</f>
        <v/>
      </c>
      <c r="M13" s="2">
        <f>IF(AND(K13&gt;=1,K13&lt;=30,J13&gt;0),"Да","Не")</f>
        <v/>
      </c>
      <c r="N13" s="2">
        <f>IF(J13=0,"Приключен",IF(AND(K13&gt;=16,K13&lt;=30,J13&gt;=500),"Висок",IF(OR(K13&gt;=16,J13&gt;=300),"Среден","Нисък")))</f>
        <v/>
      </c>
      <c r="O13" s="2">
        <f>IF(J13=0,"Няма действие",IF(G13="Неоткрит","Повторно обаждане + SMS",IF(G13="Обещание за плащане","Проследи обещанието",IF(G13="Отказва плащане","Ескалация към старши",IF(G13="Частично плащане","Договори остатъка","Стандартен контакт")))))</f>
        <v/>
      </c>
      <c r="P13" s="5">
        <f>IFERROR(F13/E13,0)</f>
        <v/>
      </c>
    </row>
    <row r="14">
      <c r="A14" s="2" t="inlineStr">
        <is>
          <t>C013</t>
        </is>
      </c>
      <c r="B14" s="2" t="inlineStr">
        <is>
          <t>Даниел Илиев</t>
        </is>
      </c>
      <c r="C14" s="2" t="inlineStr">
        <is>
          <t>Анна</t>
        </is>
      </c>
      <c r="D14" s="3" t="n">
        <v>46176</v>
      </c>
      <c r="E14" s="4" t="n">
        <v>421</v>
      </c>
      <c r="F14" s="4" t="n">
        <v>193.66</v>
      </c>
      <c r="G14" s="2" t="inlineStr">
        <is>
          <t>Частично плащане</t>
        </is>
      </c>
      <c r="H14" s="3" t="n"/>
      <c r="I14" s="2" t="inlineStr">
        <is>
          <t>Ще плати след заплата</t>
        </is>
      </c>
      <c r="J14" s="4">
        <f>MAX(0,E14-F14)</f>
        <v/>
      </c>
      <c r="K14" s="2">
        <f>MAX(0,'Настройки'!$B$1-D14)</f>
        <v/>
      </c>
      <c r="L14" s="2">
        <f>IF(K14=0,"Непросрочен",IF(K14&lt;=5,"1-5 дни",IF(K14&lt;=15,"6-15 дни",IF(K14&lt;=30,"16-30 дни","30+ дни"))))</f>
        <v/>
      </c>
      <c r="M14" s="2">
        <f>IF(AND(K14&gt;=1,K14&lt;=30,J14&gt;0),"Да","Не")</f>
        <v/>
      </c>
      <c r="N14" s="2">
        <f>IF(J14=0,"Приключен",IF(AND(K14&gt;=16,K14&lt;=30,J14&gt;=500),"Висок",IF(OR(K14&gt;=16,J14&gt;=300),"Среден","Нисък")))</f>
        <v/>
      </c>
      <c r="O14" s="2">
        <f>IF(J14=0,"Няма действие",IF(G14="Неоткрит","Повторно обаждане + SMS",IF(G14="Обещание за плащане","Проследи обещанието",IF(G14="Отказва плащане","Ескалация към старши",IF(G14="Частично плащане","Договори остатъка","Стандартен контакт")))))</f>
        <v/>
      </c>
      <c r="P14" s="5">
        <f>IFERROR(F14/E14,0)</f>
        <v/>
      </c>
    </row>
    <row r="15">
      <c r="A15" s="2" t="inlineStr">
        <is>
          <t>C014</t>
        </is>
      </c>
      <c r="B15" s="2" t="inlineStr">
        <is>
          <t>Надежда Попова</t>
        </is>
      </c>
      <c r="C15" s="2" t="inlineStr">
        <is>
          <t>Георги</t>
        </is>
      </c>
      <c r="D15" s="3" t="n">
        <v>46177</v>
      </c>
      <c r="E15" s="4" t="n">
        <v>558</v>
      </c>
      <c r="F15" s="4" t="n">
        <v>0</v>
      </c>
      <c r="G15" s="2" t="inlineStr">
        <is>
          <t>Неоткрит</t>
        </is>
      </c>
      <c r="H15" s="3" t="n"/>
      <c r="I15" s="2" t="inlineStr">
        <is>
          <t>Платил частично</t>
        </is>
      </c>
      <c r="J15" s="4">
        <f>MAX(0,E15-F15)</f>
        <v/>
      </c>
      <c r="K15" s="2">
        <f>MAX(0,'Настройки'!$B$1-D15)</f>
        <v/>
      </c>
      <c r="L15" s="2">
        <f>IF(K15=0,"Непросрочен",IF(K15&lt;=5,"1-5 дни",IF(K15&lt;=15,"6-15 дни",IF(K15&lt;=30,"16-30 дни","30+ дни"))))</f>
        <v/>
      </c>
      <c r="M15" s="2">
        <f>IF(AND(K15&gt;=1,K15&lt;=30,J15&gt;0),"Да","Не")</f>
        <v/>
      </c>
      <c r="N15" s="2">
        <f>IF(J15=0,"Приключен",IF(AND(K15&gt;=16,K15&lt;=30,J15&gt;=500),"Висок",IF(OR(K15&gt;=16,J15&gt;=300),"Среден","Нисък")))</f>
        <v/>
      </c>
      <c r="O15" s="2">
        <f>IF(J15=0,"Няма действие",IF(G15="Неоткрит","Повторно обаждане + SMS",IF(G15="Обещание за плащане","Проследи обещанието",IF(G15="Отказва плащане","Ескалация към старши",IF(G15="Частично плащане","Договори остатъка","Стандартен контакт")))))</f>
        <v/>
      </c>
      <c r="P15" s="5">
        <f>IFERROR(F15/E15,0)</f>
        <v/>
      </c>
    </row>
    <row r="16">
      <c r="A16" s="2" t="inlineStr">
        <is>
          <t>C015</t>
        </is>
      </c>
      <c r="B16" s="2" t="inlineStr">
        <is>
          <t>Калоян Михайлов</t>
        </is>
      </c>
      <c r="C16" s="2" t="inlineStr">
        <is>
          <t>Ива</t>
        </is>
      </c>
      <c r="D16" s="3" t="n">
        <v>46178</v>
      </c>
      <c r="E16" s="4" t="n">
        <v>695</v>
      </c>
      <c r="F16" s="4" t="n">
        <v>34.75</v>
      </c>
      <c r="G16" s="2" t="inlineStr">
        <is>
          <t>Обещание за плащане</t>
        </is>
      </c>
      <c r="H16" s="3" t="n">
        <v>46201</v>
      </c>
      <c r="I16" s="2" t="inlineStr">
        <is>
          <t>Оспорва начисление</t>
        </is>
      </c>
      <c r="J16" s="4">
        <f>MAX(0,E16-F16)</f>
        <v/>
      </c>
      <c r="K16" s="2">
        <f>MAX(0,'Настройки'!$B$1-D16)</f>
        <v/>
      </c>
      <c r="L16" s="2">
        <f>IF(K16=0,"Непросрочен",IF(K16&lt;=5,"1-5 дни",IF(K16&lt;=15,"6-15 дни",IF(K16&lt;=30,"16-30 дни","30+ дни"))))</f>
        <v/>
      </c>
      <c r="M16" s="2">
        <f>IF(AND(K16&gt;=1,K16&lt;=30,J16&gt;0),"Да","Не")</f>
        <v/>
      </c>
      <c r="N16" s="2">
        <f>IF(J16=0,"Приключен",IF(AND(K16&gt;=16,K16&lt;=30,J16&gt;=500),"Висок",IF(OR(K16&gt;=16,J16&gt;=300),"Среден","Нисък")))</f>
        <v/>
      </c>
      <c r="O16" s="2">
        <f>IF(J16=0,"Няма действие",IF(G16="Неоткрит","Повторно обаждане + SMS",IF(G16="Обещание за плащане","Проследи обещанието",IF(G16="Отказва плащане","Ескалация към старши",IF(G16="Частично плащане","Договори остатъка","Стандартен контакт")))))</f>
        <v/>
      </c>
      <c r="P16" s="5">
        <f>IFERROR(F16/E16,0)</f>
        <v/>
      </c>
    </row>
    <row r="17">
      <c r="A17" s="2" t="inlineStr">
        <is>
          <t>C016</t>
        </is>
      </c>
      <c r="B17" s="2" t="inlineStr">
        <is>
          <t>Радостина Алексиева</t>
        </is>
      </c>
      <c r="C17" s="2" t="inlineStr">
        <is>
          <t>Мария</t>
        </is>
      </c>
      <c r="D17" s="3" t="n">
        <v>46174</v>
      </c>
      <c r="E17" s="4" t="n">
        <v>832</v>
      </c>
      <c r="F17" s="4" t="n">
        <v>0</v>
      </c>
      <c r="G17" s="2" t="inlineStr">
        <is>
          <t>Отказва плащане</t>
        </is>
      </c>
      <c r="H17" s="3" t="n"/>
      <c r="I17" s="2" t="inlineStr">
        <is>
          <t>Потвърдено плащане</t>
        </is>
      </c>
      <c r="J17" s="4">
        <f>MAX(0,E17-F17)</f>
        <v/>
      </c>
      <c r="K17" s="2">
        <f>MAX(0,'Настройки'!$B$1-D17)</f>
        <v/>
      </c>
      <c r="L17" s="2">
        <f>IF(K17=0,"Непросрочен",IF(K17&lt;=5,"1-5 дни",IF(K17&lt;=15,"6-15 дни",IF(K17&lt;=30,"16-30 дни","30+ дни"))))</f>
        <v/>
      </c>
      <c r="M17" s="2">
        <f>IF(AND(K17&gt;=1,K17&lt;=30,J17&gt;0),"Да","Не")</f>
        <v/>
      </c>
      <c r="N17" s="2">
        <f>IF(J17=0,"Приключен",IF(AND(K17&gt;=16,K17&lt;=30,J17&gt;=500),"Висок",IF(OR(K17&gt;=16,J17&gt;=300),"Среден","Нисък")))</f>
        <v/>
      </c>
      <c r="O17" s="2">
        <f>IF(J17=0,"Няма действие",IF(G17="Неоткрит","Повторно обаждане + SMS",IF(G17="Обещание за плащане","Проследи обещанието",IF(G17="Отказва плащане","Ескалация към старши",IF(G17="Частично плащане","Договори остатъка","Стандартен контакт")))))</f>
        <v/>
      </c>
      <c r="P17" s="5">
        <f>IFERROR(F17/E17,0)</f>
        <v/>
      </c>
    </row>
    <row r="18">
      <c r="A18" s="2" t="inlineStr">
        <is>
          <t>C017</t>
        </is>
      </c>
      <c r="B18" s="2" t="inlineStr">
        <is>
          <t>Пламен Симеонов</t>
        </is>
      </c>
      <c r="C18" s="2" t="inlineStr">
        <is>
          <t>Петър</t>
        </is>
      </c>
      <c r="D18" s="3" t="n">
        <v>46175</v>
      </c>
      <c r="E18" s="4" t="n">
        <v>969</v>
      </c>
      <c r="F18" s="4" t="n">
        <v>0</v>
      </c>
      <c r="G18" s="2" t="inlineStr">
        <is>
          <t>Неоткрит</t>
        </is>
      </c>
      <c r="H18" s="3" t="n"/>
      <c r="I18" s="2" t="inlineStr">
        <is>
          <t>Нужен втори контакт</t>
        </is>
      </c>
      <c r="J18" s="4">
        <f>MAX(0,E18-F18)</f>
        <v/>
      </c>
      <c r="K18" s="2">
        <f>MAX(0,'Настройки'!$B$1-D18)</f>
        <v/>
      </c>
      <c r="L18" s="2">
        <f>IF(K18=0,"Непросрочен",IF(K18&lt;=5,"1-5 дни",IF(K18&lt;=15,"6-15 дни",IF(K18&lt;=30,"16-30 дни","30+ дни"))))</f>
        <v/>
      </c>
      <c r="M18" s="2">
        <f>IF(AND(K18&gt;=1,K18&lt;=30,J18&gt;0),"Да","Не")</f>
        <v/>
      </c>
      <c r="N18" s="2">
        <f>IF(J18=0,"Приключен",IF(AND(K18&gt;=16,K18&lt;=30,J18&gt;=500),"Висок",IF(OR(K18&gt;=16,J18&gt;=300),"Среден","Нисък")))</f>
        <v/>
      </c>
      <c r="O18" s="2">
        <f>IF(J18=0,"Няма действие",IF(G18="Неоткрит","Повторно обаждане + SMS",IF(G18="Обещание за плащане","Проследи обещанието",IF(G18="Отказва плащане","Ескалация към старши",IF(G18="Частично плащане","Договори остатъка","Стандартен контакт")))))</f>
        <v/>
      </c>
      <c r="P18" s="5">
        <f>IFERROR(F18/E18,0)</f>
        <v/>
      </c>
    </row>
    <row r="19">
      <c r="A19" s="2" t="inlineStr">
        <is>
          <t>C018</t>
        </is>
      </c>
      <c r="B19" s="2" t="inlineStr">
        <is>
          <t>Мартин Йорданов</t>
        </is>
      </c>
      <c r="C19" s="2" t="inlineStr">
        <is>
          <t>Анна</t>
        </is>
      </c>
      <c r="D19" s="3" t="n">
        <v>46176</v>
      </c>
      <c r="E19" s="4" t="n">
        <v>1106</v>
      </c>
      <c r="F19" s="4" t="n">
        <v>55.3</v>
      </c>
      <c r="G19" s="2" t="inlineStr">
        <is>
          <t>Обещание за плащане</t>
        </is>
      </c>
      <c r="H19" s="3" t="n">
        <v>46200</v>
      </c>
      <c r="I19" s="2" t="inlineStr">
        <is>
          <t>Да се провери лимит</t>
        </is>
      </c>
      <c r="J19" s="4">
        <f>MAX(0,E19-F19)</f>
        <v/>
      </c>
      <c r="K19" s="2">
        <f>MAX(0,'Настройки'!$B$1-D19)</f>
        <v/>
      </c>
      <c r="L19" s="2">
        <f>IF(K19=0,"Непросрочен",IF(K19&lt;=5,"1-5 дни",IF(K19&lt;=15,"6-15 дни",IF(K19&lt;=30,"16-30 дни","30+ дни"))))</f>
        <v/>
      </c>
      <c r="M19" s="2">
        <f>IF(AND(K19&gt;=1,K19&lt;=30,J19&gt;0),"Да","Не")</f>
        <v/>
      </c>
      <c r="N19" s="2">
        <f>IF(J19=0,"Приключен",IF(AND(K19&gt;=16,K19&lt;=30,J19&gt;=500),"Висок",IF(OR(K19&gt;=16,J19&gt;=300),"Среден","Нисък")))</f>
        <v/>
      </c>
      <c r="O19" s="2">
        <f>IF(J19=0,"Няма действие",IF(G19="Неоткрит","Повторно обаждане + SMS",IF(G19="Обещание за плащане","Проследи обещанието",IF(G19="Отказва плащане","Ескалация към старши",IF(G19="Частично плащане","Договори остатъка","Стандартен контакт")))))</f>
        <v/>
      </c>
      <c r="P19" s="5">
        <f>IFERROR(F19/E19,0)</f>
        <v/>
      </c>
    </row>
    <row r="20">
      <c r="A20" s="2" t="inlineStr">
        <is>
          <t>C019</t>
        </is>
      </c>
      <c r="B20" s="2" t="inlineStr">
        <is>
          <t>Силвия Стоянова</t>
        </is>
      </c>
      <c r="C20" s="2" t="inlineStr">
        <is>
          <t>Георги</t>
        </is>
      </c>
      <c r="D20" s="3" t="n">
        <v>46177</v>
      </c>
      <c r="E20" s="4" t="n">
        <v>1243</v>
      </c>
      <c r="F20" s="4" t="n">
        <v>0</v>
      </c>
      <c r="G20" s="2" t="inlineStr">
        <is>
          <t>Отказва плащане</t>
        </is>
      </c>
      <c r="H20" s="3" t="n"/>
      <c r="I20" s="2" t="inlineStr">
        <is>
          <t>Иска разсрочване</t>
        </is>
      </c>
      <c r="J20" s="4">
        <f>MAX(0,E20-F20)</f>
        <v/>
      </c>
      <c r="K20" s="2">
        <f>MAX(0,'Настройки'!$B$1-D20)</f>
        <v/>
      </c>
      <c r="L20" s="2">
        <f>IF(K20=0,"Непросрочен",IF(K20&lt;=5,"1-5 дни",IF(K20&lt;=15,"6-15 дни",IF(K20&lt;=30,"16-30 дни","30+ дни"))))</f>
        <v/>
      </c>
      <c r="M20" s="2">
        <f>IF(AND(K20&gt;=1,K20&lt;=30,J20&gt;0),"Да","Не")</f>
        <v/>
      </c>
      <c r="N20" s="2">
        <f>IF(J20=0,"Приключен",IF(AND(K20&gt;=16,K20&lt;=30,J20&gt;=500),"Висок",IF(OR(K20&gt;=16,J20&gt;=300),"Среден","Нисък")))</f>
        <v/>
      </c>
      <c r="O20" s="2">
        <f>IF(J20=0,"Няма действие",IF(G20="Неоткрит","Повторно обаждане + SMS",IF(G20="Обещание за плащане","Проследи обещанието",IF(G20="Отказва плащане","Ескалация към старши",IF(G20="Частично плащане","Договори остатъка","Стандартен контакт")))))</f>
        <v/>
      </c>
      <c r="P20" s="5">
        <f>IFERROR(F20/E20,0)</f>
        <v/>
      </c>
    </row>
    <row r="21">
      <c r="A21" s="2" t="inlineStr">
        <is>
          <t>C020</t>
        </is>
      </c>
      <c r="B21" s="2" t="inlineStr">
        <is>
          <t>Теодор Василев</t>
        </is>
      </c>
      <c r="C21" s="2" t="inlineStr">
        <is>
          <t>Ива</t>
        </is>
      </c>
      <c r="D21" s="3" t="n">
        <v>46178</v>
      </c>
      <c r="E21" s="4" t="n">
        <v>1380</v>
      </c>
      <c r="F21" s="4" t="n">
        <v>0</v>
      </c>
      <c r="G21" s="2" t="inlineStr">
        <is>
          <t>Неоткрит</t>
        </is>
      </c>
      <c r="H21" s="3" t="n"/>
      <c r="I21" s="2" t="inlineStr">
        <is>
          <t>Кратък разговор</t>
        </is>
      </c>
      <c r="J21" s="4">
        <f>MAX(0,E21-F21)</f>
        <v/>
      </c>
      <c r="K21" s="2">
        <f>MAX(0,'Настройки'!$B$1-D21)</f>
        <v/>
      </c>
      <c r="L21" s="2">
        <f>IF(K21=0,"Непросрочен",IF(K21&lt;=5,"1-5 дни",IF(K21&lt;=15,"6-15 дни",IF(K21&lt;=30,"16-30 дни","30+ дни"))))</f>
        <v/>
      </c>
      <c r="M21" s="2">
        <f>IF(AND(K21&gt;=1,K21&lt;=30,J21&gt;0),"Да","Не")</f>
        <v/>
      </c>
      <c r="N21" s="2">
        <f>IF(J21=0,"Приключен",IF(AND(K21&gt;=16,K21&lt;=30,J21&gt;=500),"Висок",IF(OR(K21&gt;=16,J21&gt;=300),"Среден","Нисък")))</f>
        <v/>
      </c>
      <c r="O21" s="2">
        <f>IF(J21=0,"Няма действие",IF(G21="Неоткрит","Повторно обаждане + SMS",IF(G21="Обещание за плащане","Проследи обещанието",IF(G21="Отказва плащане","Ескалация към старши",IF(G21="Частично плащане","Договори остатъка","Стандартен контакт")))))</f>
        <v/>
      </c>
      <c r="P21" s="5">
        <f>IFERROR(F21/E21,0)</f>
        <v/>
      </c>
    </row>
    <row r="22">
      <c r="A22" s="2" t="inlineStr">
        <is>
          <t>C021</t>
        </is>
      </c>
      <c r="B22" s="2" t="inlineStr">
        <is>
          <t>Ралица Димова</t>
        </is>
      </c>
      <c r="C22" s="2" t="inlineStr">
        <is>
          <t>Мария</t>
        </is>
      </c>
      <c r="D22" s="3" t="n">
        <v>46174</v>
      </c>
      <c r="E22" s="4" t="n">
        <v>1517</v>
      </c>
      <c r="F22" s="4" t="n">
        <v>455.1</v>
      </c>
      <c r="G22" s="2" t="inlineStr">
        <is>
          <t>Частично плащане</t>
        </is>
      </c>
      <c r="H22" s="3" t="n"/>
      <c r="I22" s="2" t="inlineStr">
        <is>
          <t>Няма отговор</t>
        </is>
      </c>
      <c r="J22" s="4">
        <f>MAX(0,E22-F22)</f>
        <v/>
      </c>
      <c r="K22" s="2">
        <f>MAX(0,'Настройки'!$B$1-D22)</f>
        <v/>
      </c>
      <c r="L22" s="2">
        <f>IF(K22=0,"Непросрочен",IF(K22&lt;=5,"1-5 дни",IF(K22&lt;=15,"6-15 дни",IF(K22&lt;=30,"16-30 дни","30+ дни"))))</f>
        <v/>
      </c>
      <c r="M22" s="2">
        <f>IF(AND(K22&gt;=1,K22&lt;=30,J22&gt;0),"Да","Не")</f>
        <v/>
      </c>
      <c r="N22" s="2">
        <f>IF(J22=0,"Приключен",IF(AND(K22&gt;=16,K22&lt;=30,J22&gt;=500),"Висок",IF(OR(K22&gt;=16,J22&gt;=300),"Среден","Нисък")))</f>
        <v/>
      </c>
      <c r="O22" s="2">
        <f>IF(J22=0,"Няма действие",IF(G22="Неоткрит","Повторно обаждане + SMS",IF(G22="Обещание за плащане","Проследи обещанието",IF(G22="Отказва плащане","Ескалация към старши",IF(G22="Частично плащане","Договори остатъка","Стандартен контакт")))))</f>
        <v/>
      </c>
      <c r="P22" s="5">
        <f>IFERROR(F22/E22,0)</f>
        <v/>
      </c>
    </row>
    <row r="23">
      <c r="A23" s="2" t="inlineStr">
        <is>
          <t>C022</t>
        </is>
      </c>
      <c r="B23" s="2" t="inlineStr">
        <is>
          <t>Асен Христов</t>
        </is>
      </c>
      <c r="C23" s="2" t="inlineStr">
        <is>
          <t>Петър</t>
        </is>
      </c>
      <c r="D23" s="3" t="n">
        <v>46175</v>
      </c>
      <c r="E23" s="4" t="n">
        <v>204</v>
      </c>
      <c r="F23" s="4" t="n">
        <v>204</v>
      </c>
      <c r="G23" s="2" t="inlineStr">
        <is>
          <t>Платено</t>
        </is>
      </c>
      <c r="H23" s="3" t="n"/>
      <c r="I23" s="2" t="inlineStr">
        <is>
          <t>Иска SMS с IBAN</t>
        </is>
      </c>
      <c r="J23" s="4">
        <f>MAX(0,E23-F23)</f>
        <v/>
      </c>
      <c r="K23" s="2">
        <f>MAX(0,'Настройки'!$B$1-D23)</f>
        <v/>
      </c>
      <c r="L23" s="2">
        <f>IF(K23=0,"Непросрочен",IF(K23&lt;=5,"1-5 дни",IF(K23&lt;=15,"6-15 дни",IF(K23&lt;=30,"16-30 дни","30+ дни"))))</f>
        <v/>
      </c>
      <c r="M23" s="2">
        <f>IF(AND(K23&gt;=1,K23&lt;=30,J23&gt;0),"Да","Не")</f>
        <v/>
      </c>
      <c r="N23" s="2">
        <f>IF(J23=0,"Приключен",IF(AND(K23&gt;=16,K23&lt;=30,J23&gt;=500),"Висок",IF(OR(K23&gt;=16,J23&gt;=300),"Среден","Нисък")))</f>
        <v/>
      </c>
      <c r="O23" s="2">
        <f>IF(J23=0,"Няма действие",IF(G23="Неоткрит","Повторно обаждане + SMS",IF(G23="Обещание за плащане","Проследи обещанието",IF(G23="Отказва плащане","Ескалация към старши",IF(G23="Частично плащане","Договори остатъка","Стандартен контакт")))))</f>
        <v/>
      </c>
      <c r="P23" s="5">
        <f>IFERROR(F23/E23,0)</f>
        <v/>
      </c>
    </row>
    <row r="24">
      <c r="A24" s="2" t="inlineStr">
        <is>
          <t>C023</t>
        </is>
      </c>
      <c r="B24" s="2" t="inlineStr">
        <is>
          <t>Лилия Маринова</t>
        </is>
      </c>
      <c r="C24" s="2" t="inlineStr">
        <is>
          <t>Анна</t>
        </is>
      </c>
      <c r="D24" s="3" t="n">
        <v>46176</v>
      </c>
      <c r="E24" s="4" t="n">
        <v>341</v>
      </c>
      <c r="F24" s="4" t="n">
        <v>341</v>
      </c>
      <c r="G24" s="2" t="inlineStr">
        <is>
          <t>Платено</t>
        </is>
      </c>
      <c r="H24" s="3" t="n"/>
      <c r="I24" s="2" t="inlineStr">
        <is>
          <t>Ще плати след заплата</t>
        </is>
      </c>
      <c r="J24" s="4">
        <f>MAX(0,E24-F24)</f>
        <v/>
      </c>
      <c r="K24" s="2">
        <f>MAX(0,'Настройки'!$B$1-D24)</f>
        <v/>
      </c>
      <c r="L24" s="2">
        <f>IF(K24=0,"Непросрочен",IF(K24&lt;=5,"1-5 дни",IF(K24&lt;=15,"6-15 дни",IF(K24&lt;=30,"16-30 дни","30+ дни"))))</f>
        <v/>
      </c>
      <c r="M24" s="2">
        <f>IF(AND(K24&gt;=1,K24&lt;=30,J24&gt;0),"Да","Не")</f>
        <v/>
      </c>
      <c r="N24" s="2">
        <f>IF(J24=0,"Приключен",IF(AND(K24&gt;=16,K24&lt;=30,J24&gt;=500),"Висок",IF(OR(K24&gt;=16,J24&gt;=300),"Среден","Нисък")))</f>
        <v/>
      </c>
      <c r="O24" s="2">
        <f>IF(J24=0,"Няма действие",IF(G24="Неоткрит","Повторно обаждане + SMS",IF(G24="Обещание за плащане","Проследи обещанието",IF(G24="Отказва плащане","Ескалация към старши",IF(G24="Частично плащане","Договори остатъка","Стандартен контакт")))))</f>
        <v/>
      </c>
      <c r="P24" s="5">
        <f>IFERROR(F24/E24,0)</f>
        <v/>
      </c>
    </row>
    <row r="25">
      <c r="A25" s="2" t="inlineStr">
        <is>
          <t>C024</t>
        </is>
      </c>
      <c r="B25" s="2" t="inlineStr">
        <is>
          <t>Таня Николова</t>
        </is>
      </c>
      <c r="C25" s="2" t="inlineStr">
        <is>
          <t>Георги</t>
        </is>
      </c>
      <c r="D25" s="3" t="n">
        <v>46177</v>
      </c>
      <c r="E25" s="4" t="n">
        <v>478</v>
      </c>
      <c r="F25" s="4" t="n">
        <v>258.12</v>
      </c>
      <c r="G25" s="2" t="inlineStr">
        <is>
          <t>Частично плащане</t>
        </is>
      </c>
      <c r="H25" s="3" t="n"/>
      <c r="I25" s="2" t="inlineStr">
        <is>
          <t>Платил частично</t>
        </is>
      </c>
      <c r="J25" s="4">
        <f>MAX(0,E25-F25)</f>
        <v/>
      </c>
      <c r="K25" s="2">
        <f>MAX(0,'Настройки'!$B$1-D25)</f>
        <v/>
      </c>
      <c r="L25" s="2">
        <f>IF(K25=0,"Непросрочен",IF(K25&lt;=5,"1-5 дни",IF(K25&lt;=15,"6-15 дни",IF(K25&lt;=30,"16-30 дни","30+ дни"))))</f>
        <v/>
      </c>
      <c r="M25" s="2">
        <f>IF(AND(K25&gt;=1,K25&lt;=30,J25&gt;0),"Да","Не")</f>
        <v/>
      </c>
      <c r="N25" s="2">
        <f>IF(J25=0,"Приключен",IF(AND(K25&gt;=16,K25&lt;=30,J25&gt;=500),"Висок",IF(OR(K25&gt;=16,J25&gt;=300),"Среден","Нисък")))</f>
        <v/>
      </c>
      <c r="O25" s="2">
        <f>IF(J25=0,"Няма действие",IF(G25="Неоткрит","Повторно обаждане + SMS",IF(G25="Обещание за плащане","Проследи обещанието",IF(G25="Отказва плащане","Ескалация към старши",IF(G25="Частично плащане","Договори остатъка","Стандартен контакт")))))</f>
        <v/>
      </c>
      <c r="P25" s="5">
        <f>IFERROR(F25/E25,0)</f>
        <v/>
      </c>
    </row>
    <row r="26">
      <c r="A26" s="2" t="inlineStr">
        <is>
          <t>C025</t>
        </is>
      </c>
      <c r="B26" s="2" t="inlineStr">
        <is>
          <t>Валентин Костов</t>
        </is>
      </c>
      <c r="C26" s="2" t="inlineStr">
        <is>
          <t>Ива</t>
        </is>
      </c>
      <c r="D26" s="3" t="n">
        <v>46178</v>
      </c>
      <c r="E26" s="4" t="n">
        <v>615</v>
      </c>
      <c r="F26" s="4" t="n">
        <v>615</v>
      </c>
      <c r="G26" s="2" t="inlineStr">
        <is>
          <t>Платено</t>
        </is>
      </c>
      <c r="H26" s="3" t="n"/>
      <c r="I26" s="2" t="inlineStr">
        <is>
          <t>Оспорва начисление</t>
        </is>
      </c>
      <c r="J26" s="4">
        <f>MAX(0,E26-F26)</f>
        <v/>
      </c>
      <c r="K26" s="2">
        <f>MAX(0,'Настройки'!$B$1-D26)</f>
        <v/>
      </c>
      <c r="L26" s="2">
        <f>IF(K26=0,"Непросрочен",IF(K26&lt;=5,"1-5 дни",IF(K26&lt;=15,"6-15 дни",IF(K26&lt;=30,"16-30 дни","30+ дни"))))</f>
        <v/>
      </c>
      <c r="M26" s="2">
        <f>IF(AND(K26&gt;=1,K26&lt;=30,J26&gt;0),"Да","Не")</f>
        <v/>
      </c>
      <c r="N26" s="2">
        <f>IF(J26=0,"Приключен",IF(AND(K26&gt;=16,K26&lt;=30,J26&gt;=500),"Висок",IF(OR(K26&gt;=16,J26&gt;=300),"Среден","Нисък")))</f>
        <v/>
      </c>
      <c r="O26" s="2">
        <f>IF(J26=0,"Няма действие",IF(G26="Неоткрит","Повторно обаждане + SMS",IF(G26="Обещание за плащане","Проследи обещанието",IF(G26="Отказва плащане","Ескалация към старши",IF(G26="Частично плащане","Договори остатъка","Стандартен контакт")))))</f>
        <v/>
      </c>
      <c r="P26" s="5">
        <f>IFERROR(F26/E26,0)</f>
        <v/>
      </c>
    </row>
    <row r="27">
      <c r="A27" s="2" t="inlineStr">
        <is>
          <t>C026</t>
        </is>
      </c>
      <c r="B27" s="2" t="inlineStr">
        <is>
          <t>Мария Тодорова</t>
        </is>
      </c>
      <c r="C27" s="2" t="inlineStr">
        <is>
          <t>Мария</t>
        </is>
      </c>
      <c r="D27" s="3" t="n">
        <v>46174</v>
      </c>
      <c r="E27" s="4" t="n">
        <v>752</v>
      </c>
      <c r="F27" s="4" t="n">
        <v>0</v>
      </c>
      <c r="G27" s="2" t="inlineStr">
        <is>
          <t>Обаден</t>
        </is>
      </c>
      <c r="H27" s="3" t="n"/>
      <c r="I27" s="2" t="inlineStr">
        <is>
          <t>Потвърдено плащане</t>
        </is>
      </c>
      <c r="J27" s="4">
        <f>MAX(0,E27-F27)</f>
        <v/>
      </c>
      <c r="K27" s="2">
        <f>MAX(0,'Настройки'!$B$1-D27)</f>
        <v/>
      </c>
      <c r="L27" s="2">
        <f>IF(K27=0,"Непросрочен",IF(K27&lt;=5,"1-5 дни",IF(K27&lt;=15,"6-15 дни",IF(K27&lt;=30,"16-30 дни","30+ дни"))))</f>
        <v/>
      </c>
      <c r="M27" s="2">
        <f>IF(AND(K27&gt;=1,K27&lt;=30,J27&gt;0),"Да","Не")</f>
        <v/>
      </c>
      <c r="N27" s="2">
        <f>IF(J27=0,"Приключен",IF(AND(K27&gt;=16,K27&lt;=30,J27&gt;=500),"Висок",IF(OR(K27&gt;=16,J27&gt;=300),"Среден","Нисък")))</f>
        <v/>
      </c>
      <c r="O27" s="2">
        <f>IF(J27=0,"Няма действие",IF(G27="Неоткрит","Повторно обаждане + SMS",IF(G27="Обещание за плащане","Проследи обещанието",IF(G27="Отказва плащане","Ескалация към старши",IF(G27="Частично плащане","Договори остатъка","Стандартен контакт")))))</f>
        <v/>
      </c>
      <c r="P27" s="5">
        <f>IFERROR(F27/E27,0)</f>
        <v/>
      </c>
    </row>
    <row r="28">
      <c r="A28" s="2" t="inlineStr">
        <is>
          <t>C027</t>
        </is>
      </c>
      <c r="B28" s="2" t="inlineStr">
        <is>
          <t>Ивайло Попов</t>
        </is>
      </c>
      <c r="C28" s="2" t="inlineStr">
        <is>
          <t>Петър</t>
        </is>
      </c>
      <c r="D28" s="3" t="n">
        <v>46175</v>
      </c>
      <c r="E28" s="4" t="n">
        <v>889</v>
      </c>
      <c r="F28" s="4" t="n">
        <v>337.82</v>
      </c>
      <c r="G28" s="2" t="inlineStr">
        <is>
          <t>Частично плащане</t>
        </is>
      </c>
      <c r="H28" s="3" t="n"/>
      <c r="I28" s="2" t="inlineStr">
        <is>
          <t>Нужен втори контакт</t>
        </is>
      </c>
      <c r="J28" s="4">
        <f>MAX(0,E28-F28)</f>
        <v/>
      </c>
      <c r="K28" s="2">
        <f>MAX(0,'Настройки'!$B$1-D28)</f>
        <v/>
      </c>
      <c r="L28" s="2">
        <f>IF(K28=0,"Непросрочен",IF(K28&lt;=5,"1-5 дни",IF(K28&lt;=15,"6-15 дни",IF(K28&lt;=30,"16-30 дни","30+ дни"))))</f>
        <v/>
      </c>
      <c r="M28" s="2">
        <f>IF(AND(K28&gt;=1,K28&lt;=30,J28&gt;0),"Да","Не")</f>
        <v/>
      </c>
      <c r="N28" s="2">
        <f>IF(J28=0,"Приключен",IF(AND(K28&gt;=16,K28&lt;=30,J28&gt;=500),"Висок",IF(OR(K28&gt;=16,J28&gt;=300),"Среден","Нисък")))</f>
        <v/>
      </c>
      <c r="O28" s="2">
        <f>IF(J28=0,"Няма действие",IF(G28="Неоткрит","Повторно обаждане + SMS",IF(G28="Обещание за плащане","Проследи обещанието",IF(G28="Отказва плащане","Ескалация към старши",IF(G28="Частично плащане","Договори остатъка","Стандартен контакт")))))</f>
        <v/>
      </c>
      <c r="P28" s="5">
        <f>IFERROR(F28/E28,0)</f>
        <v/>
      </c>
    </row>
    <row r="29">
      <c r="A29" s="2" t="inlineStr">
        <is>
          <t>C028</t>
        </is>
      </c>
      <c r="B29" s="2" t="inlineStr">
        <is>
          <t>Антония Илиева</t>
        </is>
      </c>
      <c r="C29" s="2" t="inlineStr">
        <is>
          <t>Анна</t>
        </is>
      </c>
      <c r="D29" s="3" t="n">
        <v>46176</v>
      </c>
      <c r="E29" s="4" t="n">
        <v>1026</v>
      </c>
      <c r="F29" s="4" t="n">
        <v>0</v>
      </c>
      <c r="G29" s="2" t="inlineStr">
        <is>
          <t>Неоткрит</t>
        </is>
      </c>
      <c r="H29" s="3" t="n"/>
      <c r="I29" s="2" t="inlineStr">
        <is>
          <t>Да се провери лимит</t>
        </is>
      </c>
      <c r="J29" s="4">
        <f>MAX(0,E29-F29)</f>
        <v/>
      </c>
      <c r="K29" s="2">
        <f>MAX(0,'Настройки'!$B$1-D29)</f>
        <v/>
      </c>
      <c r="L29" s="2">
        <f>IF(K29=0,"Непросрочен",IF(K29&lt;=5,"1-5 дни",IF(K29&lt;=15,"6-15 дни",IF(K29&lt;=30,"16-30 дни","30+ дни"))))</f>
        <v/>
      </c>
      <c r="M29" s="2">
        <f>IF(AND(K29&gt;=1,K29&lt;=30,J29&gt;0),"Да","Не")</f>
        <v/>
      </c>
      <c r="N29" s="2">
        <f>IF(J29=0,"Приключен",IF(AND(K29&gt;=16,K29&lt;=30,J29&gt;=500),"Висок",IF(OR(K29&gt;=16,J29&gt;=300),"Среден","Нисък")))</f>
        <v/>
      </c>
      <c r="O29" s="2">
        <f>IF(J29=0,"Няма действие",IF(G29="Неоткрит","Повторно обаждане + SMS",IF(G29="Обещание за плащане","Проследи обещанието",IF(G29="Отказва плащане","Ескалация към старши",IF(G29="Частично плащане","Договори остатъка","Стандартен контакт")))))</f>
        <v/>
      </c>
      <c r="P29" s="5">
        <f>IFERROR(F29/E29,0)</f>
        <v/>
      </c>
    </row>
    <row r="30">
      <c r="A30" s="2" t="inlineStr">
        <is>
          <t>C029</t>
        </is>
      </c>
      <c r="B30" s="2" t="inlineStr">
        <is>
          <t>Габриела Пенева</t>
        </is>
      </c>
      <c r="C30" s="2" t="inlineStr">
        <is>
          <t>Георги</t>
        </is>
      </c>
      <c r="D30" s="3" t="n">
        <v>46177</v>
      </c>
      <c r="E30" s="4" t="n">
        <v>1163</v>
      </c>
      <c r="F30" s="4" t="n">
        <v>0</v>
      </c>
      <c r="G30" s="2" t="inlineStr">
        <is>
          <t>Обещание за плащане</t>
        </is>
      </c>
      <c r="H30" s="3" t="n">
        <v>46199</v>
      </c>
      <c r="I30" s="2" t="inlineStr">
        <is>
          <t>Иска разсрочване</t>
        </is>
      </c>
      <c r="J30" s="4">
        <f>MAX(0,E30-F30)</f>
        <v/>
      </c>
      <c r="K30" s="2">
        <f>MAX(0,'Настройки'!$B$1-D30)</f>
        <v/>
      </c>
      <c r="L30" s="2">
        <f>IF(K30=0,"Непросрочен",IF(K30&lt;=5,"1-5 дни",IF(K30&lt;=15,"6-15 дни",IF(K30&lt;=30,"16-30 дни","30+ дни"))))</f>
        <v/>
      </c>
      <c r="M30" s="2">
        <f>IF(AND(K30&gt;=1,K30&lt;=30,J30&gt;0),"Да","Не")</f>
        <v/>
      </c>
      <c r="N30" s="2">
        <f>IF(J30=0,"Приключен",IF(AND(K30&gt;=16,K30&lt;=30,J30&gt;=500),"Висок",IF(OR(K30&gt;=16,J30&gt;=300),"Среден","Нисък")))</f>
        <v/>
      </c>
      <c r="O30" s="2">
        <f>IF(J30=0,"Няма действие",IF(G30="Неоткрит","Повторно обаждане + SMS",IF(G30="Обещание за плащане","Проследи обещанието",IF(G30="Отказва плащане","Ескалация към старши",IF(G30="Частично плащане","Договори остатъка","Стандартен контакт")))))</f>
        <v/>
      </c>
      <c r="P30" s="5">
        <f>IFERROR(F30/E30,0)</f>
        <v/>
      </c>
    </row>
    <row r="31">
      <c r="A31" s="2" t="inlineStr">
        <is>
          <t>C030</t>
        </is>
      </c>
      <c r="B31" s="2" t="inlineStr">
        <is>
          <t>Димитър Стоев</t>
        </is>
      </c>
      <c r="C31" s="2" t="inlineStr">
        <is>
          <t>Ива</t>
        </is>
      </c>
      <c r="D31" s="3" t="n">
        <v>46178</v>
      </c>
      <c r="E31" s="4" t="n">
        <v>1300</v>
      </c>
      <c r="F31" s="4" t="n">
        <v>0</v>
      </c>
      <c r="G31" s="2" t="inlineStr">
        <is>
          <t>Отказва плащане</t>
        </is>
      </c>
      <c r="H31" s="3" t="n"/>
      <c r="I31" s="2" t="inlineStr">
        <is>
          <t>Кратък разговор</t>
        </is>
      </c>
      <c r="J31" s="4">
        <f>MAX(0,E31-F31)</f>
        <v/>
      </c>
      <c r="K31" s="2">
        <f>MAX(0,'Настройки'!$B$1-D31)</f>
        <v/>
      </c>
      <c r="L31" s="2">
        <f>IF(K31=0,"Непросрочен",IF(K31&lt;=5,"1-5 дни",IF(K31&lt;=15,"6-15 дни",IF(K31&lt;=30,"16-30 дни","30+ дни"))))</f>
        <v/>
      </c>
      <c r="M31" s="2">
        <f>IF(AND(K31&gt;=1,K31&lt;=30,J31&gt;0),"Да","Не")</f>
        <v/>
      </c>
      <c r="N31" s="2">
        <f>IF(J31=0,"Приключен",IF(AND(K31&gt;=16,K31&lt;=30,J31&gt;=500),"Висок",IF(OR(K31&gt;=16,J31&gt;=300),"Среден","Нисък")))</f>
        <v/>
      </c>
      <c r="O31" s="2">
        <f>IF(J31=0,"Няма действие",IF(G31="Неоткрит","Повторно обаждане + SMS",IF(G31="Обещание за плащане","Проследи обещанието",IF(G31="Отказва плащане","Ескалация към старши",IF(G31="Частично плащане","Договори остатъка","Стандартен контакт")))))</f>
        <v/>
      </c>
      <c r="P31" s="5">
        <f>IFERROR(F31/E31,0)</f>
        <v/>
      </c>
    </row>
    <row r="32">
      <c r="A32" s="2" t="inlineStr">
        <is>
          <t>C031</t>
        </is>
      </c>
      <c r="B32" s="2" t="inlineStr">
        <is>
          <t>Петя Ангелова</t>
        </is>
      </c>
      <c r="C32" s="2" t="inlineStr">
        <is>
          <t>Мария</t>
        </is>
      </c>
      <c r="D32" s="3" t="n">
        <v>46174</v>
      </c>
      <c r="E32" s="4" t="n">
        <v>1437</v>
      </c>
      <c r="F32" s="4" t="n">
        <v>0</v>
      </c>
      <c r="G32" s="2" t="inlineStr">
        <is>
          <t>Неоткрит</t>
        </is>
      </c>
      <c r="H32" s="3" t="n"/>
      <c r="I32" s="2" t="inlineStr">
        <is>
          <t>Няма отговор</t>
        </is>
      </c>
      <c r="J32" s="4">
        <f>MAX(0,E32-F32)</f>
        <v/>
      </c>
      <c r="K32" s="2">
        <f>MAX(0,'Настройки'!$B$1-D32)</f>
        <v/>
      </c>
      <c r="L32" s="2">
        <f>IF(K32=0,"Непросрочен",IF(K32&lt;=5,"1-5 дни",IF(K32&lt;=15,"6-15 дни",IF(K32&lt;=30,"16-30 дни","30+ дни"))))</f>
        <v/>
      </c>
      <c r="M32" s="2">
        <f>IF(AND(K32&gt;=1,K32&lt;=30,J32&gt;0),"Да","Не")</f>
        <v/>
      </c>
      <c r="N32" s="2">
        <f>IF(J32=0,"Приключен",IF(AND(K32&gt;=16,K32&lt;=30,J32&gt;=500),"Висок",IF(OR(K32&gt;=16,J32&gt;=300),"Среден","Нисък")))</f>
        <v/>
      </c>
      <c r="O32" s="2">
        <f>IF(J32=0,"Няма действие",IF(G32="Неоткрит","Повторно обаждане + SMS",IF(G32="Обещание за плащане","Проследи обещанието",IF(G32="Отказва плащане","Ескалация към старши",IF(G32="Частично плащане","Договори остатъка","Стандартен контакт")))))</f>
        <v/>
      </c>
      <c r="P32" s="5">
        <f>IFERROR(F32/E32,0)</f>
        <v/>
      </c>
    </row>
    <row r="33">
      <c r="A33" s="2" t="inlineStr">
        <is>
          <t>C032</t>
        </is>
      </c>
      <c r="B33" s="2" t="inlineStr">
        <is>
          <t>Явор Георгиев</t>
        </is>
      </c>
      <c r="C33" s="2" t="inlineStr">
        <is>
          <t>Петър</t>
        </is>
      </c>
      <c r="D33" s="3" t="n">
        <v>46175</v>
      </c>
      <c r="E33" s="4" t="n">
        <v>124</v>
      </c>
      <c r="F33" s="4" t="n">
        <v>0</v>
      </c>
      <c r="G33" s="2" t="inlineStr">
        <is>
          <t>Обещание за плащане</t>
        </is>
      </c>
      <c r="H33" s="3" t="n">
        <v>46198</v>
      </c>
      <c r="I33" s="2" t="inlineStr">
        <is>
          <t>Иска SMS с IBAN</t>
        </is>
      </c>
      <c r="J33" s="4">
        <f>MAX(0,E33-F33)</f>
        <v/>
      </c>
      <c r="K33" s="2">
        <f>MAX(0,'Настройки'!$B$1-D33)</f>
        <v/>
      </c>
      <c r="L33" s="2">
        <f>IF(K33=0,"Непросрочен",IF(K33&lt;=5,"1-5 дни",IF(K33&lt;=15,"6-15 дни",IF(K33&lt;=30,"16-30 дни","30+ дни"))))</f>
        <v/>
      </c>
      <c r="M33" s="2">
        <f>IF(AND(K33&gt;=1,K33&lt;=30,J33&gt;0),"Да","Не")</f>
        <v/>
      </c>
      <c r="N33" s="2">
        <f>IF(J33=0,"Приключен",IF(AND(K33&gt;=16,K33&lt;=30,J33&gt;=500),"Висок",IF(OR(K33&gt;=16,J33&gt;=300),"Среден","Нисък")))</f>
        <v/>
      </c>
      <c r="O33" s="2">
        <f>IF(J33=0,"Няма действие",IF(G33="Неоткрит","Повторно обаждане + SMS",IF(G33="Обещание за плащане","Проследи обещанието",IF(G33="Отказва плащане","Ескалация към старши",IF(G33="Частично плащане","Договори остатъка","Стандартен контакт")))))</f>
        <v/>
      </c>
      <c r="P33" s="5">
        <f>IFERROR(F33/E33,0)</f>
        <v/>
      </c>
    </row>
    <row r="34">
      <c r="A34" s="2" t="inlineStr">
        <is>
          <t>C033</t>
        </is>
      </c>
      <c r="B34" s="2" t="inlineStr">
        <is>
          <t>Росен Киров</t>
        </is>
      </c>
      <c r="C34" s="2" t="inlineStr">
        <is>
          <t>Анна</t>
        </is>
      </c>
      <c r="D34" s="3" t="n">
        <v>46176</v>
      </c>
      <c r="E34" s="4" t="n">
        <v>261</v>
      </c>
      <c r="F34" s="4" t="n">
        <v>7.83</v>
      </c>
      <c r="G34" s="2" t="inlineStr">
        <is>
          <t>Отказва плащане</t>
        </is>
      </c>
      <c r="H34" s="3" t="n"/>
      <c r="I34" s="2" t="inlineStr">
        <is>
          <t>Ще плати след заплата</t>
        </is>
      </c>
      <c r="J34" s="4">
        <f>MAX(0,E34-F34)</f>
        <v/>
      </c>
      <c r="K34" s="2">
        <f>MAX(0,'Настройки'!$B$1-D34)</f>
        <v/>
      </c>
      <c r="L34" s="2">
        <f>IF(K34=0,"Непросрочен",IF(K34&lt;=5,"1-5 дни",IF(K34&lt;=15,"6-15 дни",IF(K34&lt;=30,"16-30 дни","30+ дни"))))</f>
        <v/>
      </c>
      <c r="M34" s="2">
        <f>IF(AND(K34&gt;=1,K34&lt;=30,J34&gt;0),"Да","Не")</f>
        <v/>
      </c>
      <c r="N34" s="2">
        <f>IF(J34=0,"Приключен",IF(AND(K34&gt;=16,K34&lt;=30,J34&gt;=500),"Висок",IF(OR(K34&gt;=16,J34&gt;=300),"Среден","Нисък")))</f>
        <v/>
      </c>
      <c r="O34" s="2">
        <f>IF(J34=0,"Няма действие",IF(G34="Неоткрит","Повторно обаждане + SMS",IF(G34="Обещание за плащане","Проследи обещанието",IF(G34="Отказва плащане","Ескалация към старши",IF(G34="Частично плащане","Договори остатъка","Стандартен контакт")))))</f>
        <v/>
      </c>
      <c r="P34" s="5">
        <f>IFERROR(F34/E34,0)</f>
        <v/>
      </c>
    </row>
    <row r="35">
      <c r="A35" s="2" t="inlineStr">
        <is>
          <t>C034</t>
        </is>
      </c>
      <c r="B35" s="2" t="inlineStr">
        <is>
          <t>Соня Михайлова</t>
        </is>
      </c>
      <c r="C35" s="2" t="inlineStr">
        <is>
          <t>Георги</t>
        </is>
      </c>
      <c r="D35" s="3" t="n">
        <v>46177</v>
      </c>
      <c r="E35" s="4" t="n">
        <v>398</v>
      </c>
      <c r="F35" s="4" t="n">
        <v>0</v>
      </c>
      <c r="G35" s="2" t="inlineStr">
        <is>
          <t>Неоткрит</t>
        </is>
      </c>
      <c r="H35" s="3" t="n"/>
      <c r="I35" s="2" t="inlineStr">
        <is>
          <t>Платил частично</t>
        </is>
      </c>
      <c r="J35" s="4">
        <f>MAX(0,E35-F35)</f>
        <v/>
      </c>
      <c r="K35" s="2">
        <f>MAX(0,'Настройки'!$B$1-D35)</f>
        <v/>
      </c>
      <c r="L35" s="2">
        <f>IF(K35=0,"Непросрочен",IF(K35&lt;=5,"1-5 дни",IF(K35&lt;=15,"6-15 дни",IF(K35&lt;=30,"16-30 дни","30+ дни"))))</f>
        <v/>
      </c>
      <c r="M35" s="2">
        <f>IF(AND(K35&gt;=1,K35&lt;=30,J35&gt;0),"Да","Не")</f>
        <v/>
      </c>
      <c r="N35" s="2">
        <f>IF(J35=0,"Приключен",IF(AND(K35&gt;=16,K35&lt;=30,J35&gt;=500),"Висок",IF(OR(K35&gt;=16,J35&gt;=300),"Среден","Нисък")))</f>
        <v/>
      </c>
      <c r="O35" s="2">
        <f>IF(J35=0,"Няма действие",IF(G35="Неоткрит","Повторно обаждане + SMS",IF(G35="Обещание за плащане","Проследи обещанието",IF(G35="Отказва плащане","Ескалация към старши",IF(G35="Частично плащане","Договори остатъка","Стандартен контакт")))))</f>
        <v/>
      </c>
      <c r="P35" s="5">
        <f>IFERROR(F35/E35,0)</f>
        <v/>
      </c>
    </row>
    <row r="36">
      <c r="A36" s="2" t="inlineStr">
        <is>
          <t>C035</t>
        </is>
      </c>
      <c r="B36" s="2" t="inlineStr">
        <is>
          <t>Александър Борисов</t>
        </is>
      </c>
      <c r="C36" s="2" t="inlineStr">
        <is>
          <t>Ива</t>
        </is>
      </c>
      <c r="D36" s="3" t="n">
        <v>46178</v>
      </c>
      <c r="E36" s="4" t="n">
        <v>535</v>
      </c>
      <c r="F36" s="4" t="n">
        <v>117.7</v>
      </c>
      <c r="G36" s="2" t="inlineStr">
        <is>
          <t>Частично плащане</t>
        </is>
      </c>
      <c r="H36" s="3" t="n"/>
      <c r="I36" s="2" t="inlineStr">
        <is>
          <t>Оспорва начисление</t>
        </is>
      </c>
      <c r="J36" s="4">
        <f>MAX(0,E36-F36)</f>
        <v/>
      </c>
      <c r="K36" s="2">
        <f>MAX(0,'Настройки'!$B$1-D36)</f>
        <v/>
      </c>
      <c r="L36" s="2">
        <f>IF(K36=0,"Непросрочен",IF(K36&lt;=5,"1-5 дни",IF(K36&lt;=15,"6-15 дни",IF(K36&lt;=30,"16-30 дни","30+ дни"))))</f>
        <v/>
      </c>
      <c r="M36" s="2">
        <f>IF(AND(K36&gt;=1,K36&lt;=30,J36&gt;0),"Да","Не")</f>
        <v/>
      </c>
      <c r="N36" s="2">
        <f>IF(J36=0,"Приключен",IF(AND(K36&gt;=16,K36&lt;=30,J36&gt;=500),"Висок",IF(OR(K36&gt;=16,J36&gt;=300),"Среден","Нисък")))</f>
        <v/>
      </c>
      <c r="O36" s="2">
        <f>IF(J36=0,"Няма действие",IF(G36="Неоткрит","Повторно обаждане + SMS",IF(G36="Обещание за плащане","Проследи обещанието",IF(G36="Отказва плащане","Ескалация към старши",IF(G36="Частично плащане","Договори остатъка","Стандартен контакт")))))</f>
        <v/>
      </c>
      <c r="P36" s="5">
        <f>IFERROR(F36/E36,0)</f>
        <v/>
      </c>
    </row>
    <row r="37">
      <c r="A37" s="2" t="inlineStr">
        <is>
          <t>C036</t>
        </is>
      </c>
      <c r="B37" s="2" t="inlineStr">
        <is>
          <t>Мирослав Данчев</t>
        </is>
      </c>
      <c r="C37" s="2" t="inlineStr">
        <is>
          <t>Мария</t>
        </is>
      </c>
      <c r="D37" s="3" t="n">
        <v>46174</v>
      </c>
      <c r="E37" s="4" t="n">
        <v>672</v>
      </c>
      <c r="F37" s="4" t="n">
        <v>672</v>
      </c>
      <c r="G37" s="2" t="inlineStr">
        <is>
          <t>Платено</t>
        </is>
      </c>
      <c r="H37" s="3" t="n"/>
      <c r="I37" s="2" t="inlineStr">
        <is>
          <t>Потвърдено плащане</t>
        </is>
      </c>
      <c r="J37" s="4">
        <f>MAX(0,E37-F37)</f>
        <v/>
      </c>
      <c r="K37" s="2">
        <f>MAX(0,'Настройки'!$B$1-D37)</f>
        <v/>
      </c>
      <c r="L37" s="2">
        <f>IF(K37=0,"Непросрочен",IF(K37&lt;=5,"1-5 дни",IF(K37&lt;=15,"6-15 дни",IF(K37&lt;=30,"16-30 дни","30+ дни"))))</f>
        <v/>
      </c>
      <c r="M37" s="2">
        <f>IF(AND(K37&gt;=1,K37&lt;=30,J37&gt;0),"Да","Не")</f>
        <v/>
      </c>
      <c r="N37" s="2">
        <f>IF(J37=0,"Приключен",IF(AND(K37&gt;=16,K37&lt;=30,J37&gt;=500),"Висок",IF(OR(K37&gt;=16,J37&gt;=300),"Среден","Нисък")))</f>
        <v/>
      </c>
      <c r="O37" s="2">
        <f>IF(J37=0,"Няма действие",IF(G37="Неоткрит","Повторно обаждане + SMS",IF(G37="Обещание за плащане","Проследи обещанието",IF(G37="Отказва плащане","Ескалация към старши",IF(G37="Частично плащане","Договори остатъка","Стандартен контакт")))))</f>
        <v/>
      </c>
      <c r="P37" s="5">
        <f>IFERROR(F37/E37,0)</f>
        <v/>
      </c>
    </row>
    <row r="38">
      <c r="A38" s="2" t="inlineStr">
        <is>
          <t>C037</t>
        </is>
      </c>
      <c r="B38" s="2" t="inlineStr">
        <is>
          <t>Илия Павлов</t>
        </is>
      </c>
      <c r="C38" s="2" t="inlineStr">
        <is>
          <t>Петър</t>
        </is>
      </c>
      <c r="D38" s="3" t="n">
        <v>46175</v>
      </c>
      <c r="E38" s="4" t="n">
        <v>809</v>
      </c>
      <c r="F38" s="4" t="n">
        <v>809</v>
      </c>
      <c r="G38" s="2" t="inlineStr">
        <is>
          <t>Платено</t>
        </is>
      </c>
      <c r="H38" s="3" t="n"/>
      <c r="I38" s="2" t="inlineStr">
        <is>
          <t>Нужен втори контакт</t>
        </is>
      </c>
      <c r="J38" s="4">
        <f>MAX(0,E38-F38)</f>
        <v/>
      </c>
      <c r="K38" s="2">
        <f>MAX(0,'Настройки'!$B$1-D38)</f>
        <v/>
      </c>
      <c r="L38" s="2">
        <f>IF(K38=0,"Непросрочен",IF(K38&lt;=5,"1-5 дни",IF(K38&lt;=15,"6-15 дни",IF(K38&lt;=30,"16-30 дни","30+ дни"))))</f>
        <v/>
      </c>
      <c r="M38" s="2">
        <f>IF(AND(K38&gt;=1,K38&lt;=30,J38&gt;0),"Да","Не")</f>
        <v/>
      </c>
      <c r="N38" s="2">
        <f>IF(J38=0,"Приключен",IF(AND(K38&gt;=16,K38&lt;=30,J38&gt;=500),"Висок",IF(OR(K38&gt;=16,J38&gt;=300),"Среден","Нисък")))</f>
        <v/>
      </c>
      <c r="O38" s="2">
        <f>IF(J38=0,"Няма действие",IF(G38="Неоткрит","Повторно обаждане + SMS",IF(G38="Обещание за плащане","Проследи обещанието",IF(G38="Отказва плащане","Ескалация към старши",IF(G38="Частично плащане","Договори остатъка","Стандартен контакт")))))</f>
        <v/>
      </c>
      <c r="P38" s="5">
        <f>IFERROR(F38/E38,0)</f>
        <v/>
      </c>
    </row>
    <row r="39">
      <c r="A39" s="2" t="inlineStr">
        <is>
          <t>C038</t>
        </is>
      </c>
      <c r="B39" s="2" t="inlineStr">
        <is>
          <t>Нели Христова</t>
        </is>
      </c>
      <c r="C39" s="2" t="inlineStr">
        <is>
          <t>Анна</t>
        </is>
      </c>
      <c r="D39" s="3" t="n">
        <v>46176</v>
      </c>
      <c r="E39" s="4" t="n">
        <v>946</v>
      </c>
      <c r="F39" s="4" t="n">
        <v>435.16</v>
      </c>
      <c r="G39" s="2" t="inlineStr">
        <is>
          <t>Частично плащане</t>
        </is>
      </c>
      <c r="H39" s="3" t="n"/>
      <c r="I39" s="2" t="inlineStr">
        <is>
          <t>Да се провери лимит</t>
        </is>
      </c>
      <c r="J39" s="4">
        <f>MAX(0,E39-F39)</f>
        <v/>
      </c>
      <c r="K39" s="2">
        <f>MAX(0,'Настройки'!$B$1-D39)</f>
        <v/>
      </c>
      <c r="L39" s="2">
        <f>IF(K39=0,"Непросрочен",IF(K39&lt;=5,"1-5 дни",IF(K39&lt;=15,"6-15 дни",IF(K39&lt;=30,"16-30 дни","30+ дни"))))</f>
        <v/>
      </c>
      <c r="M39" s="2">
        <f>IF(AND(K39&gt;=1,K39&lt;=30,J39&gt;0),"Да","Не")</f>
        <v/>
      </c>
      <c r="N39" s="2">
        <f>IF(J39=0,"Приключен",IF(AND(K39&gt;=16,K39&lt;=30,J39&gt;=500),"Висок",IF(OR(K39&gt;=16,J39&gt;=300),"Среден","Нисък")))</f>
        <v/>
      </c>
      <c r="O39" s="2">
        <f>IF(J39=0,"Няма действие",IF(G39="Неоткрит","Повторно обаждане + SMS",IF(G39="Обещание за плащане","Проследи обещанието",IF(G39="Отказва плащане","Ескалация към старши",IF(G39="Частично плащане","Договори остатъка","Стандартен контакт")))))</f>
        <v/>
      </c>
      <c r="P39" s="5">
        <f>IFERROR(F39/E39,0)</f>
        <v/>
      </c>
    </row>
    <row r="40">
      <c r="A40" s="2" t="inlineStr">
        <is>
          <t>C039</t>
        </is>
      </c>
      <c r="B40" s="2" t="inlineStr">
        <is>
          <t>Биляна Василева</t>
        </is>
      </c>
      <c r="C40" s="2" t="inlineStr">
        <is>
          <t>Георги</t>
        </is>
      </c>
      <c r="D40" s="3" t="n">
        <v>46177</v>
      </c>
      <c r="E40" s="4" t="n">
        <v>1083</v>
      </c>
      <c r="F40" s="4" t="n">
        <v>1083</v>
      </c>
      <c r="G40" s="2" t="inlineStr">
        <is>
          <t>Платено</t>
        </is>
      </c>
      <c r="H40" s="3" t="n"/>
      <c r="I40" s="2" t="inlineStr">
        <is>
          <t>Иска разсрочване</t>
        </is>
      </c>
      <c r="J40" s="4">
        <f>MAX(0,E40-F40)</f>
        <v/>
      </c>
      <c r="K40" s="2">
        <f>MAX(0,'Настройки'!$B$1-D40)</f>
        <v/>
      </c>
      <c r="L40" s="2">
        <f>IF(K40=0,"Непросрочен",IF(K40&lt;=5,"1-5 дни",IF(K40&lt;=15,"6-15 дни",IF(K40&lt;=30,"16-30 дни","30+ дни"))))</f>
        <v/>
      </c>
      <c r="M40" s="2">
        <f>IF(AND(K40&gt;=1,K40&lt;=30,J40&gt;0),"Да","Не")</f>
        <v/>
      </c>
      <c r="N40" s="2">
        <f>IF(J40=0,"Приключен",IF(AND(K40&gt;=16,K40&lt;=30,J40&gt;=500),"Висок",IF(OR(K40&gt;=16,J40&gt;=300),"Среден","Нисък")))</f>
        <v/>
      </c>
      <c r="O40" s="2">
        <f>IF(J40=0,"Няма действие",IF(G40="Неоткрит","Повторно обаждане + SMS",IF(G40="Обещание за плащане","Проследи обещанието",IF(G40="Отказва плащане","Ескалация към старши",IF(G40="Частично плащане","Договори остатъка","Стандартен контакт")))))</f>
        <v/>
      </c>
      <c r="P40" s="5">
        <f>IFERROR(F40/E40,0)</f>
        <v/>
      </c>
    </row>
    <row r="41">
      <c r="A41" s="2" t="inlineStr">
        <is>
          <t>C040</t>
        </is>
      </c>
      <c r="B41" s="2" t="inlineStr">
        <is>
          <t>Васил Трендафилов</t>
        </is>
      </c>
      <c r="C41" s="2" t="inlineStr">
        <is>
          <t>Ива</t>
        </is>
      </c>
      <c r="D41" s="3" t="n">
        <v>46178</v>
      </c>
      <c r="E41" s="4" t="n">
        <v>1220</v>
      </c>
      <c r="F41" s="4" t="n">
        <v>0</v>
      </c>
      <c r="G41" s="2" t="inlineStr">
        <is>
          <t>Обаден</t>
        </is>
      </c>
      <c r="H41" s="3" t="n"/>
      <c r="I41" s="2" t="inlineStr">
        <is>
          <t>Кратък разговор</t>
        </is>
      </c>
      <c r="J41" s="4">
        <f>MAX(0,E41-F41)</f>
        <v/>
      </c>
      <c r="K41" s="2">
        <f>MAX(0,'Настройки'!$B$1-D41)</f>
        <v/>
      </c>
      <c r="L41" s="2">
        <f>IF(K41=0,"Непросрочен",IF(K41&lt;=5,"1-5 дни",IF(K41&lt;=15,"6-15 дни",IF(K41&lt;=30,"16-30 дни","30+ дни"))))</f>
        <v/>
      </c>
      <c r="M41" s="2">
        <f>IF(AND(K41&gt;=1,K41&lt;=30,J41&gt;0),"Да","Не")</f>
        <v/>
      </c>
      <c r="N41" s="2">
        <f>IF(J41=0,"Приключен",IF(AND(K41&gt;=16,K41&lt;=30,J41&gt;=500),"Висок",IF(OR(K41&gt;=16,J41&gt;=300),"Среден","Нисък")))</f>
        <v/>
      </c>
      <c r="O41" s="2">
        <f>IF(J41=0,"Няма действие",IF(G41="Неоткрит","Повторно обаждане + SMS",IF(G41="Обещание за плащане","Проследи обещанието",IF(G41="Отказва плащане","Ескалация към старши",IF(G41="Частично плащане","Договори остатъка","Стандартен контакт")))))</f>
        <v/>
      </c>
      <c r="P41" s="5">
        <f>IFERROR(F41/E41,0)</f>
        <v/>
      </c>
    </row>
    <row r="42">
      <c r="A42" s="2" t="inlineStr">
        <is>
          <t>C041</t>
        </is>
      </c>
      <c r="B42" s="2" t="inlineStr">
        <is>
          <t>Дора Иванова</t>
        </is>
      </c>
      <c r="C42" s="2" t="inlineStr">
        <is>
          <t>Мария</t>
        </is>
      </c>
      <c r="D42" s="3" t="n">
        <v>46174</v>
      </c>
      <c r="E42" s="4" t="n">
        <v>1357</v>
      </c>
      <c r="F42" s="4" t="n">
        <v>407.1</v>
      </c>
      <c r="G42" s="2" t="inlineStr">
        <is>
          <t>Частично плащане</t>
        </is>
      </c>
      <c r="H42" s="3" t="n"/>
      <c r="I42" s="2" t="inlineStr">
        <is>
          <t>Няма отговор</t>
        </is>
      </c>
      <c r="J42" s="4">
        <f>MAX(0,E42-F42)</f>
        <v/>
      </c>
      <c r="K42" s="2">
        <f>MAX(0,'Настройки'!$B$1-D42)</f>
        <v/>
      </c>
      <c r="L42" s="2">
        <f>IF(K42=0,"Непросрочен",IF(K42&lt;=5,"1-5 дни",IF(K42&lt;=15,"6-15 дни",IF(K42&lt;=30,"16-30 дни","30+ дни"))))</f>
        <v/>
      </c>
      <c r="M42" s="2">
        <f>IF(AND(K42&gt;=1,K42&lt;=30,J42&gt;0),"Да","Не")</f>
        <v/>
      </c>
      <c r="N42" s="2">
        <f>IF(J42=0,"Приключен",IF(AND(K42&gt;=16,K42&lt;=30,J42&gt;=500),"Висок",IF(OR(K42&gt;=16,J42&gt;=300),"Среден","Нисък")))</f>
        <v/>
      </c>
      <c r="O42" s="2">
        <f>IF(J42=0,"Няма действие",IF(G42="Неоткрит","Повторно обаждане + SMS",IF(G42="Обещание за плащане","Проследи обещанието",IF(G42="Отказва плащане","Ескалация към старши",IF(G42="Частично плащане","Договори остатъка","Стандартен контакт")))))</f>
        <v/>
      </c>
      <c r="P42" s="5">
        <f>IFERROR(F42/E42,0)</f>
        <v/>
      </c>
    </row>
    <row r="43">
      <c r="A43" s="2" t="inlineStr">
        <is>
          <t>C042</t>
        </is>
      </c>
      <c r="B43" s="2" t="inlineStr">
        <is>
          <t>Камен Петров</t>
        </is>
      </c>
      <c r="C43" s="2" t="inlineStr">
        <is>
          <t>Петър</t>
        </is>
      </c>
      <c r="D43" s="3" t="n">
        <v>46175</v>
      </c>
      <c r="E43" s="4" t="n">
        <v>1494</v>
      </c>
      <c r="F43" s="4" t="n">
        <v>0</v>
      </c>
      <c r="G43" s="2" t="inlineStr">
        <is>
          <t>Неоткрит</t>
        </is>
      </c>
      <c r="H43" s="3" t="n"/>
      <c r="I43" s="2" t="inlineStr">
        <is>
          <t>Иска SMS с IBAN</t>
        </is>
      </c>
      <c r="J43" s="4">
        <f>MAX(0,E43-F43)</f>
        <v/>
      </c>
      <c r="K43" s="2">
        <f>MAX(0,'Настройки'!$B$1-D43)</f>
        <v/>
      </c>
      <c r="L43" s="2">
        <f>IF(K43=0,"Непросрочен",IF(K43&lt;=5,"1-5 дни",IF(K43&lt;=15,"6-15 дни",IF(K43&lt;=30,"16-30 дни","30+ дни"))))</f>
        <v/>
      </c>
      <c r="M43" s="2">
        <f>IF(AND(K43&gt;=1,K43&lt;=30,J43&gt;0),"Да","Не")</f>
        <v/>
      </c>
      <c r="N43" s="2">
        <f>IF(J43=0,"Приключен",IF(AND(K43&gt;=16,K43&lt;=30,J43&gt;=500),"Висок",IF(OR(K43&gt;=16,J43&gt;=300),"Среден","Нисък")))</f>
        <v/>
      </c>
      <c r="O43" s="2">
        <f>IF(J43=0,"Няма действие",IF(G43="Неоткрит","Повторно обаждане + SMS",IF(G43="Обещание за плащане","Проследи обещанието",IF(G43="Отказва плащане","Ескалация към старши",IF(G43="Частично плащане","Договори остатъка","Стандартен контакт")))))</f>
        <v/>
      </c>
      <c r="P43" s="5">
        <f>IFERROR(F43/E43,0)</f>
        <v/>
      </c>
    </row>
    <row r="44">
      <c r="A44" s="2" t="inlineStr">
        <is>
          <t>C043</t>
        </is>
      </c>
      <c r="B44" s="2" t="inlineStr">
        <is>
          <t>Жана Колева</t>
        </is>
      </c>
      <c r="C44" s="2" t="inlineStr">
        <is>
          <t>Анна</t>
        </is>
      </c>
      <c r="D44" s="3" t="n">
        <v>46176</v>
      </c>
      <c r="E44" s="4" t="n">
        <v>181</v>
      </c>
      <c r="F44" s="4" t="n">
        <v>0</v>
      </c>
      <c r="G44" s="2" t="inlineStr">
        <is>
          <t>Обещание за плащане</t>
        </is>
      </c>
      <c r="H44" s="3" t="n">
        <v>46201</v>
      </c>
      <c r="I44" s="2" t="inlineStr">
        <is>
          <t>Ще плати след заплата</t>
        </is>
      </c>
      <c r="J44" s="4">
        <f>MAX(0,E44-F44)</f>
        <v/>
      </c>
      <c r="K44" s="2">
        <f>MAX(0,'Настройки'!$B$1-D44)</f>
        <v/>
      </c>
      <c r="L44" s="2">
        <f>IF(K44=0,"Непросрочен",IF(K44&lt;=5,"1-5 дни",IF(K44&lt;=15,"6-15 дни",IF(K44&lt;=30,"16-30 дни","30+ дни"))))</f>
        <v/>
      </c>
      <c r="M44" s="2">
        <f>IF(AND(K44&gt;=1,K44&lt;=30,J44&gt;0),"Да","Не")</f>
        <v/>
      </c>
      <c r="N44" s="2">
        <f>IF(J44=0,"Приключен",IF(AND(K44&gt;=16,K44&lt;=30,J44&gt;=500),"Висок",IF(OR(K44&gt;=16,J44&gt;=300),"Среден","Нисък")))</f>
        <v/>
      </c>
      <c r="O44" s="2">
        <f>IF(J44=0,"Няма действие",IF(G44="Неоткрит","Повторно обаждане + SMS",IF(G44="Обещание за плащане","Проследи обещанието",IF(G44="Отказва плащане","Ескалация към старши",IF(G44="Частично плащане","Договори остатъка","Стандартен контакт")))))</f>
        <v/>
      </c>
      <c r="P44" s="5">
        <f>IFERROR(F44/E44,0)</f>
        <v/>
      </c>
    </row>
    <row r="45">
      <c r="A45" s="2" t="inlineStr">
        <is>
          <t>C044</t>
        </is>
      </c>
      <c r="B45" s="2" t="inlineStr">
        <is>
          <t>Михаела Стефанова</t>
        </is>
      </c>
      <c r="C45" s="2" t="inlineStr">
        <is>
          <t>Георги</t>
        </is>
      </c>
      <c r="D45" s="3" t="n">
        <v>46177</v>
      </c>
      <c r="E45" s="4" t="n">
        <v>318</v>
      </c>
      <c r="F45" s="4" t="n">
        <v>9.539999999999999</v>
      </c>
      <c r="G45" s="2" t="inlineStr">
        <is>
          <t>Отказва плащане</t>
        </is>
      </c>
      <c r="H45" s="3" t="n"/>
      <c r="I45" s="2" t="inlineStr">
        <is>
          <t>Платил частично</t>
        </is>
      </c>
      <c r="J45" s="4">
        <f>MAX(0,E45-F45)</f>
        <v/>
      </c>
      <c r="K45" s="2">
        <f>MAX(0,'Настройки'!$B$1-D45)</f>
        <v/>
      </c>
      <c r="L45" s="2">
        <f>IF(K45=0,"Непросрочен",IF(K45&lt;=5,"1-5 дни",IF(K45&lt;=15,"6-15 дни",IF(K45&lt;=30,"16-30 дни","30+ дни"))))</f>
        <v/>
      </c>
      <c r="M45" s="2">
        <f>IF(AND(K45&gt;=1,K45&lt;=30,J45&gt;0),"Да","Не")</f>
        <v/>
      </c>
      <c r="N45" s="2">
        <f>IF(J45=0,"Приключен",IF(AND(K45&gt;=16,K45&lt;=30,J45&gt;=500),"Висок",IF(OR(K45&gt;=16,J45&gt;=300),"Среден","Нисък")))</f>
        <v/>
      </c>
      <c r="O45" s="2">
        <f>IF(J45=0,"Няма действие",IF(G45="Неоткрит","Повторно обаждане + SMS",IF(G45="Обещание за плащане","Проследи обещанието",IF(G45="Отказва плащане","Ескалация към старши",IF(G45="Частично плащане","Договори остатъка","Стандартен контакт")))))</f>
        <v/>
      </c>
      <c r="P45" s="5">
        <f>IFERROR(F45/E45,0)</f>
        <v/>
      </c>
    </row>
    <row r="46">
      <c r="A46" s="2" t="inlineStr">
        <is>
          <t>C045</t>
        </is>
      </c>
      <c r="B46" s="2" t="inlineStr">
        <is>
          <t>Любомир Радев</t>
        </is>
      </c>
      <c r="C46" s="2" t="inlineStr">
        <is>
          <t>Ива</t>
        </is>
      </c>
      <c r="D46" s="3" t="n">
        <v>46178</v>
      </c>
      <c r="E46" s="4" t="n">
        <v>455</v>
      </c>
      <c r="F46" s="4" t="n">
        <v>0</v>
      </c>
      <c r="G46" s="2" t="inlineStr">
        <is>
          <t>Неоткрит</t>
        </is>
      </c>
      <c r="H46" s="3" t="n"/>
      <c r="I46" s="2" t="inlineStr">
        <is>
          <t>Оспорва начисление</t>
        </is>
      </c>
      <c r="J46" s="4">
        <f>MAX(0,E46-F46)</f>
        <v/>
      </c>
      <c r="K46" s="2">
        <f>MAX(0,'Настройки'!$B$1-D46)</f>
        <v/>
      </c>
      <c r="L46" s="2">
        <f>IF(K46=0,"Непросрочен",IF(K46&lt;=5,"1-5 дни",IF(K46&lt;=15,"6-15 дни",IF(K46&lt;=30,"16-30 дни","30+ дни"))))</f>
        <v/>
      </c>
      <c r="M46" s="2">
        <f>IF(AND(K46&gt;=1,K46&lt;=30,J46&gt;0),"Да","Не")</f>
        <v/>
      </c>
      <c r="N46" s="2">
        <f>IF(J46=0,"Приключен",IF(AND(K46&gt;=16,K46&lt;=30,J46&gt;=500),"Висок",IF(OR(K46&gt;=16,J46&gt;=300),"Среден","Нисък")))</f>
        <v/>
      </c>
      <c r="O46" s="2">
        <f>IF(J46=0,"Няма действие",IF(G46="Неоткрит","Повторно обаждане + SMS",IF(G46="Обещание за плащане","Проследи обещанието",IF(G46="Отказва плащане","Ескалация към старши",IF(G46="Частично плащане","Договори остатъка","Стандартен контакт")))))</f>
        <v/>
      </c>
      <c r="P46" s="5">
        <f>IFERROR(F46/E46,0)</f>
        <v/>
      </c>
    </row>
    <row r="47">
      <c r="A47" s="2" t="inlineStr">
        <is>
          <t>C046</t>
        </is>
      </c>
      <c r="B47" s="2" t="inlineStr">
        <is>
          <t>Станислав Драганов</t>
        </is>
      </c>
      <c r="C47" s="2" t="inlineStr">
        <is>
          <t>Мария</t>
        </is>
      </c>
      <c r="D47" s="3" t="n">
        <v>46174</v>
      </c>
      <c r="E47" s="4" t="n">
        <v>592</v>
      </c>
      <c r="F47" s="4" t="n">
        <v>0</v>
      </c>
      <c r="G47" s="2" t="inlineStr">
        <is>
          <t>Обещание за плащане</t>
        </is>
      </c>
      <c r="H47" s="3" t="n">
        <v>46200</v>
      </c>
      <c r="I47" s="2" t="inlineStr">
        <is>
          <t>Потвърдено плащане</t>
        </is>
      </c>
      <c r="J47" s="4">
        <f>MAX(0,E47-F47)</f>
        <v/>
      </c>
      <c r="K47" s="2">
        <f>MAX(0,'Настройки'!$B$1-D47)</f>
        <v/>
      </c>
      <c r="L47" s="2">
        <f>IF(K47=0,"Непросрочен",IF(K47&lt;=5,"1-5 дни",IF(K47&lt;=15,"6-15 дни",IF(K47&lt;=30,"16-30 дни","30+ дни"))))</f>
        <v/>
      </c>
      <c r="M47" s="2">
        <f>IF(AND(K47&gt;=1,K47&lt;=30,J47&gt;0),"Да","Не")</f>
        <v/>
      </c>
      <c r="N47" s="2">
        <f>IF(J47=0,"Приключен",IF(AND(K47&gt;=16,K47&lt;=30,J47&gt;=500),"Висок",IF(OR(K47&gt;=16,J47&gt;=300),"Среден","Нисък")))</f>
        <v/>
      </c>
      <c r="O47" s="2">
        <f>IF(J47=0,"Няма действие",IF(G47="Неоткрит","Повторно обаждане + SMS",IF(G47="Обещание за плащане","Проследи обещанието",IF(G47="Отказва плащане","Ескалация към старши",IF(G47="Частично плащане","Договори остатъка","Стандартен контакт")))))</f>
        <v/>
      </c>
      <c r="P47" s="5">
        <f>IFERROR(F47/E47,0)</f>
        <v/>
      </c>
    </row>
    <row r="48">
      <c r="A48" s="2" t="inlineStr">
        <is>
          <t>C047</t>
        </is>
      </c>
      <c r="B48" s="2" t="inlineStr">
        <is>
          <t>Емил Стоянов</t>
        </is>
      </c>
      <c r="C48" s="2" t="inlineStr">
        <is>
          <t>Петър</t>
        </is>
      </c>
      <c r="D48" s="3" t="n">
        <v>46175</v>
      </c>
      <c r="E48" s="4" t="n">
        <v>729</v>
      </c>
      <c r="F48" s="4" t="n">
        <v>0</v>
      </c>
      <c r="G48" s="2" t="inlineStr">
        <is>
          <t>Отказва плащане</t>
        </is>
      </c>
      <c r="H48" s="3" t="n"/>
      <c r="I48" s="2" t="inlineStr">
        <is>
          <t>Нужен втори контакт</t>
        </is>
      </c>
      <c r="J48" s="4">
        <f>MAX(0,E48-F48)</f>
        <v/>
      </c>
      <c r="K48" s="2">
        <f>MAX(0,'Настройки'!$B$1-D48)</f>
        <v/>
      </c>
      <c r="L48" s="2">
        <f>IF(K48=0,"Непросрочен",IF(K48&lt;=5,"1-5 дни",IF(K48&lt;=15,"6-15 дни",IF(K48&lt;=30,"16-30 дни","30+ дни"))))</f>
        <v/>
      </c>
      <c r="M48" s="2">
        <f>IF(AND(K48&gt;=1,K48&lt;=30,J48&gt;0),"Да","Не")</f>
        <v/>
      </c>
      <c r="N48" s="2">
        <f>IF(J48=0,"Приключен",IF(AND(K48&gt;=16,K48&lt;=30,J48&gt;=500),"Висок",IF(OR(K48&gt;=16,J48&gt;=300),"Среден","Нисък")))</f>
        <v/>
      </c>
      <c r="O48" s="2">
        <f>IF(J48=0,"Няма действие",IF(G48="Неоткрит","Повторно обаждане + SMS",IF(G48="Обещание за плащане","Проследи обещанието",IF(G48="Отказва плащане","Ескалация към старши",IF(G48="Частично плащане","Договори остатъка","Стандартен контакт")))))</f>
        <v/>
      </c>
      <c r="P48" s="5">
        <f>IFERROR(F48/E48,0)</f>
        <v/>
      </c>
    </row>
    <row r="49">
      <c r="A49" s="2" t="inlineStr">
        <is>
          <t>C048</t>
        </is>
      </c>
      <c r="B49" s="2" t="inlineStr">
        <is>
          <t>Кристина Тодорова</t>
        </is>
      </c>
      <c r="C49" s="2" t="inlineStr">
        <is>
          <t>Анна</t>
        </is>
      </c>
      <c r="D49" s="3" t="n">
        <v>46176</v>
      </c>
      <c r="E49" s="4" t="n">
        <v>866</v>
      </c>
      <c r="F49" s="4" t="n">
        <v>0</v>
      </c>
      <c r="G49" s="2" t="inlineStr">
        <is>
          <t>Неоткрит</t>
        </is>
      </c>
      <c r="H49" s="3" t="n"/>
      <c r="I49" s="2" t="inlineStr">
        <is>
          <t>Да се провери лимит</t>
        </is>
      </c>
      <c r="J49" s="4">
        <f>MAX(0,E49-F49)</f>
        <v/>
      </c>
      <c r="K49" s="2">
        <f>MAX(0,'Настройки'!$B$1-D49)</f>
        <v/>
      </c>
      <c r="L49" s="2">
        <f>IF(K49=0,"Непросрочен",IF(K49&lt;=5,"1-5 дни",IF(K49&lt;=15,"6-15 дни",IF(K49&lt;=30,"16-30 дни","30+ дни"))))</f>
        <v/>
      </c>
      <c r="M49" s="2">
        <f>IF(AND(K49&gt;=1,K49&lt;=30,J49&gt;0),"Да","Не")</f>
        <v/>
      </c>
      <c r="N49" s="2">
        <f>IF(J49=0,"Приключен",IF(AND(K49&gt;=16,K49&lt;=30,J49&gt;=500),"Висок",IF(OR(K49&gt;=16,J49&gt;=300),"Среден","Нисък")))</f>
        <v/>
      </c>
      <c r="O49" s="2">
        <f>IF(J49=0,"Няма действие",IF(G49="Неоткрит","Повторно обаждане + SMS",IF(G49="Обещание за плащане","Проследи обещанието",IF(G49="Отказва плащане","Ескалация към старши",IF(G49="Частично плащане","Договори остатъка","Стандартен контакт")))))</f>
        <v/>
      </c>
      <c r="P49" s="5">
        <f>IFERROR(F49/E49,0)</f>
        <v/>
      </c>
    </row>
    <row r="50">
      <c r="A50" s="2" t="inlineStr">
        <is>
          <t>C049</t>
        </is>
      </c>
      <c r="B50" s="2" t="inlineStr">
        <is>
          <t>Деян Николов</t>
        </is>
      </c>
      <c r="C50" s="2" t="inlineStr">
        <is>
          <t>Георги</t>
        </is>
      </c>
      <c r="D50" s="3" t="n">
        <v>46177</v>
      </c>
      <c r="E50" s="4" t="n">
        <v>1003</v>
      </c>
      <c r="F50" s="4" t="n">
        <v>541.62</v>
      </c>
      <c r="G50" s="2" t="inlineStr">
        <is>
          <t>Частично плащане</t>
        </is>
      </c>
      <c r="H50" s="3" t="n"/>
      <c r="I50" s="2" t="inlineStr">
        <is>
          <t>Иска разсрочване</t>
        </is>
      </c>
      <c r="J50" s="4">
        <f>MAX(0,E50-F50)</f>
        <v/>
      </c>
      <c r="K50" s="2">
        <f>MAX(0,'Настройки'!$B$1-D50)</f>
        <v/>
      </c>
      <c r="L50" s="2">
        <f>IF(K50=0,"Непросрочен",IF(K50&lt;=5,"1-5 дни",IF(K50&lt;=15,"6-15 дни",IF(K50&lt;=30,"16-30 дни","30+ дни"))))</f>
        <v/>
      </c>
      <c r="M50" s="2">
        <f>IF(AND(K50&gt;=1,K50&lt;=30,J50&gt;0),"Да","Не")</f>
        <v/>
      </c>
      <c r="N50" s="2">
        <f>IF(J50=0,"Приключен",IF(AND(K50&gt;=16,K50&lt;=30,J50&gt;=500),"Висок",IF(OR(K50&gt;=16,J50&gt;=300),"Среден","Нисък")))</f>
        <v/>
      </c>
      <c r="O50" s="2">
        <f>IF(J50=0,"Няма действие",IF(G50="Неоткрит","Повторно обаждане + SMS",IF(G50="Обещание за плащане","Проследи обещанието",IF(G50="Отказва плащане","Ескалация към старши",IF(G50="Частично плащане","Договори остатъка","Стандартен контакт")))))</f>
        <v/>
      </c>
      <c r="P50" s="5">
        <f>IFERROR(F50/E50,0)</f>
        <v/>
      </c>
    </row>
    <row r="51">
      <c r="A51" s="2" t="inlineStr">
        <is>
          <t>C050</t>
        </is>
      </c>
      <c r="B51" s="2" t="inlineStr">
        <is>
          <t>Румен Ангелов</t>
        </is>
      </c>
      <c r="C51" s="2" t="inlineStr">
        <is>
          <t>Ива</t>
        </is>
      </c>
      <c r="D51" s="3" t="n">
        <v>46178</v>
      </c>
      <c r="E51" s="4" t="n">
        <v>1140</v>
      </c>
      <c r="F51" s="4" t="n">
        <v>1140</v>
      </c>
      <c r="G51" s="2" t="inlineStr">
        <is>
          <t>Платено</t>
        </is>
      </c>
      <c r="H51" s="3" t="n"/>
      <c r="I51" s="2" t="inlineStr">
        <is>
          <t>Кратък разговор</t>
        </is>
      </c>
      <c r="J51" s="4">
        <f>MAX(0,E51-F51)</f>
        <v/>
      </c>
      <c r="K51" s="2">
        <f>MAX(0,'Настройки'!$B$1-D51)</f>
        <v/>
      </c>
      <c r="L51" s="2">
        <f>IF(K51=0,"Непросрочен",IF(K51&lt;=5,"1-5 дни",IF(K51&lt;=15,"6-15 дни",IF(K51&lt;=30,"16-30 дни","30+ дни"))))</f>
        <v/>
      </c>
      <c r="M51" s="2">
        <f>IF(AND(K51&gt;=1,K51&lt;=30,J51&gt;0),"Да","Не")</f>
        <v/>
      </c>
      <c r="N51" s="2">
        <f>IF(J51=0,"Приключен",IF(AND(K51&gt;=16,K51&lt;=30,J51&gt;=500),"Висок",IF(OR(K51&gt;=16,J51&gt;=300),"Среден","Нисък")))</f>
        <v/>
      </c>
      <c r="O51" s="2">
        <f>IF(J51=0,"Няма действие",IF(G51="Неоткрит","Повторно обаждане + SMS",IF(G51="Обещание за плащане","Проследи обещанието",IF(G51="Отказва плащане","Ескалация към старши",IF(G51="Частично плащане","Договори остатъка","Стандартен контакт")))))</f>
        <v/>
      </c>
      <c r="P51" s="5">
        <f>IFERROR(F51/E51,0)</f>
        <v/>
      </c>
    </row>
    <row r="52">
      <c r="A52" s="2" t="inlineStr">
        <is>
          <t>C051</t>
        </is>
      </c>
      <c r="B52" s="2" t="inlineStr">
        <is>
          <t>Ева Димитрова</t>
        </is>
      </c>
      <c r="C52" s="2" t="inlineStr">
        <is>
          <t>Мария</t>
        </is>
      </c>
      <c r="D52" s="3" t="n">
        <v>46174</v>
      </c>
      <c r="E52" s="4" t="n">
        <v>1277</v>
      </c>
      <c r="F52" s="4" t="n">
        <v>0</v>
      </c>
      <c r="G52" s="2" t="inlineStr">
        <is>
          <t>Обаден</t>
        </is>
      </c>
      <c r="H52" s="3" t="n"/>
      <c r="I52" s="2" t="inlineStr">
        <is>
          <t>Няма отговор</t>
        </is>
      </c>
      <c r="J52" s="4">
        <f>MAX(0,E52-F52)</f>
        <v/>
      </c>
      <c r="K52" s="2">
        <f>MAX(0,'Настройки'!$B$1-D52)</f>
        <v/>
      </c>
      <c r="L52" s="2">
        <f>IF(K52=0,"Непросрочен",IF(K52&lt;=5,"1-5 дни",IF(K52&lt;=15,"6-15 дни",IF(K52&lt;=30,"16-30 дни","30+ дни"))))</f>
        <v/>
      </c>
      <c r="M52" s="2">
        <f>IF(AND(K52&gt;=1,K52&lt;=30,J52&gt;0),"Да","Не")</f>
        <v/>
      </c>
      <c r="N52" s="2">
        <f>IF(J52=0,"Приключен",IF(AND(K52&gt;=16,K52&lt;=30,J52&gt;=500),"Висок",IF(OR(K52&gt;=16,J52&gt;=300),"Среден","Нисък")))</f>
        <v/>
      </c>
      <c r="O52" s="2">
        <f>IF(J52=0,"Няма действие",IF(G52="Неоткрит","Повторно обаждане + SMS",IF(G52="Обещание за плащане","Проследи обещанието",IF(G52="Отказва плащане","Ескалация към старши",IF(G52="Частично плащане","Договори остатъка","Стандартен контакт")))))</f>
        <v/>
      </c>
      <c r="P52" s="5">
        <f>IFERROR(F52/E52,0)</f>
        <v/>
      </c>
    </row>
    <row r="53">
      <c r="A53" s="2" t="inlineStr">
        <is>
          <t>C052</t>
        </is>
      </c>
      <c r="B53" s="2" t="inlineStr">
        <is>
          <t>Алекс Петров</t>
        </is>
      </c>
      <c r="C53" s="2" t="inlineStr">
        <is>
          <t>Петър</t>
        </is>
      </c>
      <c r="D53" s="3" t="n">
        <v>46175</v>
      </c>
      <c r="E53" s="4" t="n">
        <v>1414</v>
      </c>
      <c r="F53" s="4" t="n">
        <v>1414</v>
      </c>
      <c r="G53" s="2" t="inlineStr">
        <is>
          <t>Платено</t>
        </is>
      </c>
      <c r="H53" s="3" t="n"/>
      <c r="I53" s="2" t="inlineStr">
        <is>
          <t>Иска SMS с IBAN</t>
        </is>
      </c>
      <c r="J53" s="4">
        <f>MAX(0,E53-F53)</f>
        <v/>
      </c>
      <c r="K53" s="2">
        <f>MAX(0,'Настройки'!$B$1-D53)</f>
        <v/>
      </c>
      <c r="L53" s="2">
        <f>IF(K53=0,"Непросрочен",IF(K53&lt;=5,"1-5 дни",IF(K53&lt;=15,"6-15 дни",IF(K53&lt;=30,"16-30 дни","30+ дни"))))</f>
        <v/>
      </c>
      <c r="M53" s="2">
        <f>IF(AND(K53&gt;=1,K53&lt;=30,J53&gt;0),"Да","Не")</f>
        <v/>
      </c>
      <c r="N53" s="2">
        <f>IF(J53=0,"Приключен",IF(AND(K53&gt;=16,K53&lt;=30,J53&gt;=500),"Висок",IF(OR(K53&gt;=16,J53&gt;=300),"Среден","Нисък")))</f>
        <v/>
      </c>
      <c r="O53" s="2">
        <f>IF(J53=0,"Няма действие",IF(G53="Неоткрит","Повторно обаждане + SMS",IF(G53="Обещание за плащане","Проследи обещанието",IF(G53="Отказва плащане","Ескалация към старши",IF(G53="Частично плащане","Договори остатъка","Стандартен контакт")))))</f>
        <v/>
      </c>
      <c r="P53" s="5">
        <f>IFERROR(F53/E53,0)</f>
        <v/>
      </c>
    </row>
    <row r="54">
      <c r="A54" s="2" t="inlineStr">
        <is>
          <t>C053</t>
        </is>
      </c>
      <c r="B54" s="2" t="inlineStr">
        <is>
          <t>Нора Георгиева</t>
        </is>
      </c>
      <c r="C54" s="2" t="inlineStr">
        <is>
          <t>Анна</t>
        </is>
      </c>
      <c r="D54" s="3" t="n">
        <v>46145</v>
      </c>
      <c r="E54" s="4" t="n">
        <v>101</v>
      </c>
      <c r="F54" s="4" t="n">
        <v>101</v>
      </c>
      <c r="G54" s="2" t="inlineStr">
        <is>
          <t>Платено</t>
        </is>
      </c>
      <c r="H54" s="3" t="n"/>
      <c r="I54" s="2" t="inlineStr">
        <is>
          <t>Ще плати след заплата</t>
        </is>
      </c>
      <c r="J54" s="4">
        <f>MAX(0,E54-F54)</f>
        <v/>
      </c>
      <c r="K54" s="2">
        <f>MAX(0,'Настройки'!$B$1-D54)</f>
        <v/>
      </c>
      <c r="L54" s="2">
        <f>IF(K54=0,"Непросрочен",IF(K54&lt;=5,"1-5 дни",IF(K54&lt;=15,"6-15 дни",IF(K54&lt;=30,"16-30 дни","30+ дни"))))</f>
        <v/>
      </c>
      <c r="M54" s="2">
        <f>IF(AND(K54&gt;=1,K54&lt;=30,J54&gt;0),"Да","Не")</f>
        <v/>
      </c>
      <c r="N54" s="2">
        <f>IF(J54=0,"Приключен",IF(AND(K54&gt;=16,K54&lt;=30,J54&gt;=500),"Висок",IF(OR(K54&gt;=16,J54&gt;=300),"Среден","Нисък")))</f>
        <v/>
      </c>
      <c r="O54" s="2">
        <f>IF(J54=0,"Няма действие",IF(G54="Неоткрит","Повторно обаждане + SMS",IF(G54="Обещание за плащане","Проследи обещанието",IF(G54="Отказва плащане","Ескалация към старши",IF(G54="Частично плащане","Договори остатъка","Стандартен контакт")))))</f>
        <v/>
      </c>
      <c r="P54" s="5">
        <f>IFERROR(F54/E54,0)</f>
        <v/>
      </c>
    </row>
    <row r="55">
      <c r="A55" s="2" t="inlineStr">
        <is>
          <t>C054</t>
        </is>
      </c>
      <c r="B55" s="2" t="inlineStr">
        <is>
          <t>Тихомир Маринов</t>
        </is>
      </c>
      <c r="C55" s="2" t="inlineStr">
        <is>
          <t>Георги</t>
        </is>
      </c>
      <c r="D55" s="3" t="n">
        <v>46146</v>
      </c>
      <c r="E55" s="4" t="n">
        <v>238</v>
      </c>
      <c r="F55" s="4" t="n">
        <v>0</v>
      </c>
      <c r="G55" s="2" t="inlineStr">
        <is>
          <t>Обаден</t>
        </is>
      </c>
      <c r="H55" s="3" t="n"/>
      <c r="I55" s="2" t="inlineStr">
        <is>
          <t>Платил частично</t>
        </is>
      </c>
      <c r="J55" s="4">
        <f>MAX(0,E55-F55)</f>
        <v/>
      </c>
      <c r="K55" s="2">
        <f>MAX(0,'Настройки'!$B$1-D55)</f>
        <v/>
      </c>
      <c r="L55" s="2">
        <f>IF(K55=0,"Непросрочен",IF(K55&lt;=5,"1-5 дни",IF(K55&lt;=15,"6-15 дни",IF(K55&lt;=30,"16-30 дни","30+ дни"))))</f>
        <v/>
      </c>
      <c r="M55" s="2">
        <f>IF(AND(K55&gt;=1,K55&lt;=30,J55&gt;0),"Да","Не")</f>
        <v/>
      </c>
      <c r="N55" s="2">
        <f>IF(J55=0,"Приключен",IF(AND(K55&gt;=16,K55&lt;=30,J55&gt;=500),"Висок",IF(OR(K55&gt;=16,J55&gt;=300),"Среден","Нисък")))</f>
        <v/>
      </c>
      <c r="O55" s="2">
        <f>IF(J55=0,"Няма действие",IF(G55="Неоткрит","Повторно обаждане + SMS",IF(G55="Обещание за плащане","Проследи обещанието",IF(G55="Отказва плащане","Ескалация към старши",IF(G55="Частично плащане","Договори остатъка","Стандартен контакт")))))</f>
        <v/>
      </c>
      <c r="P55" s="5">
        <f>IFERROR(F55/E55,0)</f>
        <v/>
      </c>
    </row>
    <row r="56">
      <c r="A56" s="2" t="inlineStr">
        <is>
          <t>C055</t>
        </is>
      </c>
      <c r="B56" s="2" t="inlineStr">
        <is>
          <t>Венета Илиева</t>
        </is>
      </c>
      <c r="C56" s="2" t="inlineStr">
        <is>
          <t>Ива</t>
        </is>
      </c>
      <c r="D56" s="3" t="n">
        <v>46147</v>
      </c>
      <c r="E56" s="4" t="n">
        <v>375</v>
      </c>
      <c r="F56" s="4" t="n">
        <v>82.5</v>
      </c>
      <c r="G56" s="2" t="inlineStr">
        <is>
          <t>Частично плащане</t>
        </is>
      </c>
      <c r="H56" s="3" t="n"/>
      <c r="I56" s="2" t="inlineStr">
        <is>
          <t>Оспорва начисление</t>
        </is>
      </c>
      <c r="J56" s="4">
        <f>MAX(0,E56-F56)</f>
        <v/>
      </c>
      <c r="K56" s="2">
        <f>MAX(0,'Настройки'!$B$1-D56)</f>
        <v/>
      </c>
      <c r="L56" s="2">
        <f>IF(K56=0,"Непросрочен",IF(K56&lt;=5,"1-5 дни",IF(K56&lt;=15,"6-15 дни",IF(K56&lt;=30,"16-30 дни","30+ дни"))))</f>
        <v/>
      </c>
      <c r="M56" s="2">
        <f>IF(AND(K56&gt;=1,K56&lt;=30,J56&gt;0),"Да","Не")</f>
        <v/>
      </c>
      <c r="N56" s="2">
        <f>IF(J56=0,"Приключен",IF(AND(K56&gt;=16,K56&lt;=30,J56&gt;=500),"Висок",IF(OR(K56&gt;=16,J56&gt;=300),"Среден","Нисък")))</f>
        <v/>
      </c>
      <c r="O56" s="2">
        <f>IF(J56=0,"Няма действие",IF(G56="Неоткрит","Повторно обаждане + SMS",IF(G56="Обещание за плащане","Проследи обещанието",IF(G56="Отказва плащане","Ескалация към старши",IF(G56="Частично плащане","Договори остатъка","Стандартен контакт")))))</f>
        <v/>
      </c>
      <c r="P56" s="5">
        <f>IFERROR(F56/E56,0)</f>
        <v/>
      </c>
    </row>
    <row r="57">
      <c r="A57" s="2" t="inlineStr">
        <is>
          <t>C056</t>
        </is>
      </c>
      <c r="B57" s="2" t="inlineStr">
        <is>
          <t>Павел Христов</t>
        </is>
      </c>
      <c r="C57" s="2" t="inlineStr">
        <is>
          <t>Мария</t>
        </is>
      </c>
      <c r="D57" s="3" t="n">
        <v>46143</v>
      </c>
      <c r="E57" s="4" t="n">
        <v>512</v>
      </c>
      <c r="F57" s="4" t="n">
        <v>0</v>
      </c>
      <c r="G57" s="2" t="inlineStr">
        <is>
          <t>Неоткрит</t>
        </is>
      </c>
      <c r="H57" s="3" t="n"/>
      <c r="I57" s="2" t="inlineStr">
        <is>
          <t>Потвърдено плащане</t>
        </is>
      </c>
      <c r="J57" s="4">
        <f>MAX(0,E57-F57)</f>
        <v/>
      </c>
      <c r="K57" s="2">
        <f>MAX(0,'Настройки'!$B$1-D57)</f>
        <v/>
      </c>
      <c r="L57" s="2">
        <f>IF(K57=0,"Непросрочен",IF(K57&lt;=5,"1-5 дни",IF(K57&lt;=15,"6-15 дни",IF(K57&lt;=30,"16-30 дни","30+ дни"))))</f>
        <v/>
      </c>
      <c r="M57" s="2">
        <f>IF(AND(K57&gt;=1,K57&lt;=30,J57&gt;0),"Да","Не")</f>
        <v/>
      </c>
      <c r="N57" s="2">
        <f>IF(J57=0,"Приключен",IF(AND(K57&gt;=16,K57&lt;=30,J57&gt;=500),"Висок",IF(OR(K57&gt;=16,J57&gt;=300),"Среден","Нисък")))</f>
        <v/>
      </c>
      <c r="O57" s="2">
        <f>IF(J57=0,"Няма действие",IF(G57="Неоткрит","Повторно обаждане + SMS",IF(G57="Обещание за плащане","Проследи обещанието",IF(G57="Отказва плащане","Ескалация към старши",IF(G57="Частично плащане","Договори остатъка","Стандартен контакт")))))</f>
        <v/>
      </c>
      <c r="P57" s="5">
        <f>IFERROR(F57/E57,0)</f>
        <v/>
      </c>
    </row>
    <row r="58">
      <c r="A58" s="2" t="inlineStr">
        <is>
          <t>C057</t>
        </is>
      </c>
      <c r="B58" s="2" t="inlineStr">
        <is>
          <t>Зорница Костова</t>
        </is>
      </c>
      <c r="C58" s="2" t="inlineStr">
        <is>
          <t>Петър</t>
        </is>
      </c>
      <c r="D58" s="3" t="n">
        <v>46144</v>
      </c>
      <c r="E58" s="4" t="n">
        <v>649</v>
      </c>
      <c r="F58" s="4" t="n">
        <v>32.45</v>
      </c>
      <c r="G58" s="2" t="inlineStr">
        <is>
          <t>Обещание за плащане</t>
        </is>
      </c>
      <c r="H58" s="3" t="n">
        <v>46199</v>
      </c>
      <c r="I58" s="2" t="inlineStr">
        <is>
          <t>Нужен втори контакт</t>
        </is>
      </c>
      <c r="J58" s="4">
        <f>MAX(0,E58-F58)</f>
        <v/>
      </c>
      <c r="K58" s="2">
        <f>MAX(0,'Настройки'!$B$1-D58)</f>
        <v/>
      </c>
      <c r="L58" s="2">
        <f>IF(K58=0,"Непросрочен",IF(K58&lt;=5,"1-5 дни",IF(K58&lt;=15,"6-15 дни",IF(K58&lt;=30,"16-30 дни","30+ дни"))))</f>
        <v/>
      </c>
      <c r="M58" s="2">
        <f>IF(AND(K58&gt;=1,K58&lt;=30,J58&gt;0),"Да","Не")</f>
        <v/>
      </c>
      <c r="N58" s="2">
        <f>IF(J58=0,"Приключен",IF(AND(K58&gt;=16,K58&lt;=30,J58&gt;=500),"Висок",IF(OR(K58&gt;=16,J58&gt;=300),"Среден","Нисък")))</f>
        <v/>
      </c>
      <c r="O58" s="2">
        <f>IF(J58=0,"Няма действие",IF(G58="Неоткрит","Повторно обаждане + SMS",IF(G58="Обещание за плащане","Проследи обещанието",IF(G58="Отказва плащане","Ескалация към старши",IF(G58="Частично плащане","Договори остатъка","Стандартен контакт")))))</f>
        <v/>
      </c>
      <c r="P58" s="5">
        <f>IFERROR(F58/E58,0)</f>
        <v/>
      </c>
    </row>
    <row r="59">
      <c r="A59" s="2" t="inlineStr">
        <is>
          <t>C058</t>
        </is>
      </c>
      <c r="B59" s="2" t="inlineStr">
        <is>
          <t>Кирил Василев</t>
        </is>
      </c>
      <c r="C59" s="2" t="inlineStr">
        <is>
          <t>Анна</t>
        </is>
      </c>
      <c r="D59" s="3" t="n">
        <v>46145</v>
      </c>
      <c r="E59" s="4" t="n">
        <v>786</v>
      </c>
      <c r="F59" s="4" t="n">
        <v>0</v>
      </c>
      <c r="G59" s="2" t="inlineStr">
        <is>
          <t>Отказва плащане</t>
        </is>
      </c>
      <c r="H59" s="3" t="n"/>
      <c r="I59" s="2" t="inlineStr">
        <is>
          <t>Да се провери лимит</t>
        </is>
      </c>
      <c r="J59" s="4">
        <f>MAX(0,E59-F59)</f>
        <v/>
      </c>
      <c r="K59" s="2">
        <f>MAX(0,'Настройки'!$B$1-D59)</f>
        <v/>
      </c>
      <c r="L59" s="2">
        <f>IF(K59=0,"Непросрочен",IF(K59&lt;=5,"1-5 дни",IF(K59&lt;=15,"6-15 дни",IF(K59&lt;=30,"16-30 дни","30+ дни"))))</f>
        <v/>
      </c>
      <c r="M59" s="2">
        <f>IF(AND(K59&gt;=1,K59&lt;=30,J59&gt;0),"Да","Не")</f>
        <v/>
      </c>
      <c r="N59" s="2">
        <f>IF(J59=0,"Приключен",IF(AND(K59&gt;=16,K59&lt;=30,J59&gt;=500),"Висок",IF(OR(K59&gt;=16,J59&gt;=300),"Среден","Нисък")))</f>
        <v/>
      </c>
      <c r="O59" s="2">
        <f>IF(J59=0,"Няма действие",IF(G59="Неоткрит","Повторно обаждане + SMS",IF(G59="Обещание за плащане","Проследи обещанието",IF(G59="Отказва плащане","Ескалация към старши",IF(G59="Частично плащане","Договори остатъка","Стандартен контакт")))))</f>
        <v/>
      </c>
      <c r="P59" s="5">
        <f>IFERROR(F59/E59,0)</f>
        <v/>
      </c>
    </row>
    <row r="60">
      <c r="A60" s="2" t="inlineStr">
        <is>
          <t>C059</t>
        </is>
      </c>
      <c r="B60" s="2" t="inlineStr">
        <is>
          <t>Галя Симеонова</t>
        </is>
      </c>
      <c r="C60" s="2" t="inlineStr">
        <is>
          <t>Георги</t>
        </is>
      </c>
      <c r="D60" s="3" t="n">
        <v>46146</v>
      </c>
      <c r="E60" s="4" t="n">
        <v>923</v>
      </c>
      <c r="F60" s="4" t="n">
        <v>0</v>
      </c>
      <c r="G60" s="2" t="inlineStr">
        <is>
          <t>Неоткрит</t>
        </is>
      </c>
      <c r="H60" s="3" t="n"/>
      <c r="I60" s="2" t="inlineStr">
        <is>
          <t>Иска разсрочване</t>
        </is>
      </c>
      <c r="J60" s="4">
        <f>MAX(0,E60-F60)</f>
        <v/>
      </c>
      <c r="K60" s="2">
        <f>MAX(0,'Настройки'!$B$1-D60)</f>
        <v/>
      </c>
      <c r="L60" s="2">
        <f>IF(K60=0,"Непросрочен",IF(K60&lt;=5,"1-5 дни",IF(K60&lt;=15,"6-15 дни",IF(K60&lt;=30,"16-30 дни","30+ дни"))))</f>
        <v/>
      </c>
      <c r="M60" s="2">
        <f>IF(AND(K60&gt;=1,K60&lt;=30,J60&gt;0),"Да","Не")</f>
        <v/>
      </c>
      <c r="N60" s="2">
        <f>IF(J60=0,"Приключен",IF(AND(K60&gt;=16,K60&lt;=30,J60&gt;=500),"Висок",IF(OR(K60&gt;=16,J60&gt;=300),"Среден","Нисък")))</f>
        <v/>
      </c>
      <c r="O60" s="2">
        <f>IF(J60=0,"Няма действие",IF(G60="Неоткрит","Повторно обаждане + SMS",IF(G60="Обещание за плащане","Проследи обещанието",IF(G60="Отказва плащане","Ескалация към старши",IF(G60="Частично плащане","Договори остатъка","Стандартен контакт")))))</f>
        <v/>
      </c>
      <c r="P60" s="5">
        <f>IFERROR(F60/E60,0)</f>
        <v/>
      </c>
    </row>
    <row r="61">
      <c r="A61" s="2" t="inlineStr">
        <is>
          <t>C060</t>
        </is>
      </c>
      <c r="B61" s="2" t="inlineStr">
        <is>
          <t>Момчил Колев</t>
        </is>
      </c>
      <c r="C61" s="2" t="inlineStr">
        <is>
          <t>Ива</t>
        </is>
      </c>
      <c r="D61" s="3" t="n">
        <v>46147</v>
      </c>
      <c r="E61" s="4" t="n">
        <v>1060</v>
      </c>
      <c r="F61" s="4" t="n">
        <v>53</v>
      </c>
      <c r="G61" s="2" t="inlineStr">
        <is>
          <t>Обещание за плащане</t>
        </is>
      </c>
      <c r="H61" s="3" t="n">
        <v>46198</v>
      </c>
      <c r="I61" s="2" t="inlineStr">
        <is>
          <t>Кратък разговор</t>
        </is>
      </c>
      <c r="J61" s="4">
        <f>MAX(0,E61-F61)</f>
        <v/>
      </c>
      <c r="K61" s="2">
        <f>MAX(0,'Настройки'!$B$1-D61)</f>
        <v/>
      </c>
      <c r="L61" s="2">
        <f>IF(K61=0,"Непросрочен",IF(K61&lt;=5,"1-5 дни",IF(K61&lt;=15,"6-15 дни",IF(K61&lt;=30,"16-30 дни","30+ дни"))))</f>
        <v/>
      </c>
      <c r="M61" s="2">
        <f>IF(AND(K61&gt;=1,K61&lt;=30,J61&gt;0),"Да","Не")</f>
        <v/>
      </c>
      <c r="N61" s="2">
        <f>IF(J61=0,"Приключен",IF(AND(K61&gt;=16,K61&lt;=30,J61&gt;=500),"Висок",IF(OR(K61&gt;=16,J61&gt;=300),"Среден","Нисък")))</f>
        <v/>
      </c>
      <c r="O61" s="2">
        <f>IF(J61=0,"Няма действие",IF(G61="Неоткрит","Повторно обаждане + SMS",IF(G61="Обещание за плащане","Проследи обещанието",IF(G61="Отказва плащане","Ескалация към старши",IF(G61="Частично плащане","Договори остатъка","Стандартен контакт")))))</f>
        <v/>
      </c>
      <c r="P61" s="5">
        <f>IFERROR(F61/E61,0)</f>
        <v/>
      </c>
    </row>
  </sheetData>
  <autoFilter ref="A1:P61"/>
  <conditionalFormatting sqref="N2:N61">
    <cfRule type="expression" priority="1" dxfId="0">
      <formula>N2="Висок"</formula>
    </cfRule>
    <cfRule type="expression" priority="2" dxfId="1">
      <formula>N2="Среден"</formula>
    </cfRule>
    <cfRule type="expression" priority="3" dxfId="2">
      <formula>N2="Приключен"</formula>
    </cfRule>
  </conditionalFormatting>
  <conditionalFormatting sqref="M2:M61">
    <cfRule type="expression" priority="4" dxfId="3">
      <formula>M2="Да"</formula>
    </cfRule>
    <cfRule type="expression" priority="5" dxfId="4">
      <formula>M2="Не"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9EADCC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Дата за упражнението</t>
        </is>
      </c>
      <c r="B1" s="7" t="n">
        <v>46197</v>
      </c>
    </row>
    <row r="2">
      <c r="A2" s="2" t="inlineStr">
        <is>
          <t>Цел събираемост</t>
        </is>
      </c>
      <c r="B2" s="5" t="n">
        <v>0.7</v>
      </c>
    </row>
    <row r="3">
      <c r="A3" s="2" t="inlineStr">
        <is>
          <t>Обхват на екипа</t>
        </is>
      </c>
      <c r="B3" s="2" t="inlineStr">
        <is>
          <t>1-30 дни просрочие</t>
        </is>
      </c>
    </row>
    <row r="4">
      <c r="A4" s="2" t="inlineStr">
        <is>
          <t>Падеж кредитна карта</t>
        </is>
      </c>
      <c r="B4" s="2" t="inlineStr">
        <is>
          <t>Фиксиран между 1-во и 5-то число</t>
        </is>
      </c>
    </row>
    <row r="5">
      <c r="A5" s="2" t="n"/>
      <c r="B5" s="2" t="n"/>
    </row>
    <row r="6">
      <c r="A6" s="2" t="inlineStr">
        <is>
          <t>Съвет</t>
        </is>
      </c>
      <c r="B6" s="2" t="inlineStr">
        <is>
          <t>Първо филтрирай M=Да и J&gt;0, после приоритизирай N=Висок.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8" t="inlineStr">
        <is>
          <t>KPI табло - събираемост кредитни карти</t>
        </is>
      </c>
    </row>
    <row r="3">
      <c r="A3" s="9" t="inlineStr">
        <is>
          <t>Показател</t>
        </is>
      </c>
      <c r="B3" s="9" t="inlineStr">
        <is>
          <t>Стойност</t>
        </is>
      </c>
      <c r="C3" s="10" t="n"/>
      <c r="D3" s="10" t="n"/>
      <c r="E3" s="10" t="n"/>
      <c r="F3" s="10" t="n"/>
      <c r="G3" s="10" t="n"/>
      <c r="H3" s="10" t="n"/>
    </row>
    <row r="4">
      <c r="A4" s="11" t="inlineStr">
        <is>
          <t>Общо възложена сума</t>
        </is>
      </c>
      <c r="B4" s="12">
        <f>SUM('Данни'!E:E)</f>
        <v/>
      </c>
    </row>
    <row r="5">
      <c r="A5" s="11" t="inlineStr">
        <is>
          <t>Общо събрана сума</t>
        </is>
      </c>
      <c r="B5" s="12">
        <f>SUM('Данни'!F:F)</f>
        <v/>
      </c>
    </row>
    <row r="6">
      <c r="A6" s="11" t="inlineStr">
        <is>
          <t>Остатък за събиране</t>
        </is>
      </c>
      <c r="B6" s="12">
        <f>SUM('Данни'!J:J)</f>
        <v/>
      </c>
    </row>
    <row r="7">
      <c r="A7" s="11" t="inlineStr">
        <is>
          <t>% събираемост</t>
        </is>
      </c>
      <c r="B7" s="13">
        <f>IFERROR(B5/B4,0)</f>
        <v/>
      </c>
    </row>
    <row r="8">
      <c r="A8" s="11" t="inlineStr">
        <is>
          <t>Клиенти в обхват 1-30</t>
        </is>
      </c>
      <c r="B8" s="14">
        <f>COUNTIF('Данни'!M:M,"Да")</f>
        <v/>
      </c>
    </row>
    <row r="9">
      <c r="A9" s="11" t="inlineStr">
        <is>
          <t>Висок приоритет</t>
        </is>
      </c>
      <c r="B9" s="14">
        <f>COUNTIF('Данни'!N:N,"Висок")</f>
        <v/>
      </c>
    </row>
    <row r="10">
      <c r="A10" s="11" t="inlineStr">
        <is>
          <t>Извън обхват/приключени</t>
        </is>
      </c>
      <c r="B10" s="14">
        <f>COUNTIF('Данни'!M:M,"Не")</f>
        <v/>
      </c>
    </row>
    <row r="13">
      <c r="A13" s="15" t="inlineStr">
        <is>
          <t>Служител</t>
        </is>
      </c>
      <c r="B13" s="15" t="inlineStr">
        <is>
          <t>Брой клиенти</t>
        </is>
      </c>
      <c r="C13" s="15" t="inlineStr">
        <is>
          <t>Възложена сума</t>
        </is>
      </c>
      <c r="D13" s="15" t="inlineStr">
        <is>
          <t>Събрана сума</t>
        </is>
      </c>
      <c r="E13" s="15" t="inlineStr">
        <is>
          <t>Остатък</t>
        </is>
      </c>
      <c r="F13" s="15" t="inlineStr">
        <is>
          <t>% събираемост</t>
        </is>
      </c>
      <c r="G13" s="15" t="inlineStr">
        <is>
          <t>Висок приоритет</t>
        </is>
      </c>
    </row>
    <row r="14">
      <c r="A14" s="16" t="inlineStr">
        <is>
          <t>Мария</t>
        </is>
      </c>
      <c r="B14" s="16">
        <f>COUNTIF('Данни'!C:C,A14)</f>
        <v/>
      </c>
      <c r="C14" s="17">
        <f>SUMIF('Данни'!C:C,A14,'Данни'!E:E)</f>
        <v/>
      </c>
      <c r="D14" s="17">
        <f>SUMIF('Данни'!C:C,A14,'Данни'!F:F)</f>
        <v/>
      </c>
      <c r="E14" s="17">
        <f>SUMIF('Данни'!C:C,A14,'Данни'!J:J)</f>
        <v/>
      </c>
      <c r="F14" s="18">
        <f>IFERROR(D14/C14,0)</f>
        <v/>
      </c>
      <c r="G14" s="16">
        <f>COUNTIFS('Данни'!C:C,A14,'Данни'!N:N,"Висок")</f>
        <v/>
      </c>
    </row>
    <row r="15">
      <c r="A15" s="19" t="inlineStr">
        <is>
          <t>Петър</t>
        </is>
      </c>
      <c r="B15" s="19">
        <f>COUNTIF('Данни'!C:C,A15)</f>
        <v/>
      </c>
      <c r="C15" s="12">
        <f>SUMIF('Данни'!C:C,A15,'Данни'!E:E)</f>
        <v/>
      </c>
      <c r="D15" s="12">
        <f>SUMIF('Данни'!C:C,A15,'Данни'!F:F)</f>
        <v/>
      </c>
      <c r="E15" s="12">
        <f>SUMIF('Данни'!C:C,A15,'Данни'!J:J)</f>
        <v/>
      </c>
      <c r="F15" s="13">
        <f>IFERROR(D15/C15,0)</f>
        <v/>
      </c>
      <c r="G15" s="19">
        <f>COUNTIFS('Данни'!C:C,A15,'Данни'!N:N,"Висок")</f>
        <v/>
      </c>
    </row>
    <row r="16">
      <c r="A16" s="16" t="inlineStr">
        <is>
          <t>Анна</t>
        </is>
      </c>
      <c r="B16" s="16">
        <f>COUNTIF('Данни'!C:C,A16)</f>
        <v/>
      </c>
      <c r="C16" s="17">
        <f>SUMIF('Данни'!C:C,A16,'Данни'!E:E)</f>
        <v/>
      </c>
      <c r="D16" s="17">
        <f>SUMIF('Данни'!C:C,A16,'Данни'!F:F)</f>
        <v/>
      </c>
      <c r="E16" s="17">
        <f>SUMIF('Данни'!C:C,A16,'Данни'!J:J)</f>
        <v/>
      </c>
      <c r="F16" s="18">
        <f>IFERROR(D16/C16,0)</f>
        <v/>
      </c>
      <c r="G16" s="16">
        <f>COUNTIFS('Данни'!C:C,A16,'Данни'!N:N,"Висок")</f>
        <v/>
      </c>
    </row>
    <row r="17">
      <c r="A17" s="19" t="inlineStr">
        <is>
          <t>Георги</t>
        </is>
      </c>
      <c r="B17" s="19">
        <f>COUNTIF('Данни'!C:C,A17)</f>
        <v/>
      </c>
      <c r="C17" s="12">
        <f>SUMIF('Данни'!C:C,A17,'Данни'!E:E)</f>
        <v/>
      </c>
      <c r="D17" s="12">
        <f>SUMIF('Данни'!C:C,A17,'Данни'!F:F)</f>
        <v/>
      </c>
      <c r="E17" s="12">
        <f>SUMIF('Данни'!C:C,A17,'Данни'!J:J)</f>
        <v/>
      </c>
      <c r="F17" s="13">
        <f>IFERROR(D17/C17,0)</f>
        <v/>
      </c>
      <c r="G17" s="19">
        <f>COUNTIFS('Данни'!C:C,A17,'Данни'!N:N,"Висок")</f>
        <v/>
      </c>
    </row>
    <row r="18">
      <c r="A18" s="16" t="inlineStr">
        <is>
          <t>Ива</t>
        </is>
      </c>
      <c r="B18" s="16">
        <f>COUNTIF('Данни'!C:C,A18)</f>
        <v/>
      </c>
      <c r="C18" s="17">
        <f>SUMIF('Данни'!C:C,A18,'Данни'!E:E)</f>
        <v/>
      </c>
      <c r="D18" s="17">
        <f>SUMIF('Данни'!C:C,A18,'Данни'!F:F)</f>
        <v/>
      </c>
      <c r="E18" s="17">
        <f>SUMIF('Данни'!C:C,A18,'Данни'!J:J)</f>
        <v/>
      </c>
      <c r="F18" s="18">
        <f>IFERROR(D18/C18,0)</f>
        <v/>
      </c>
      <c r="G18" s="16">
        <f>COUNTIFS('Данни'!C:C,A18,'Данни'!N:N,"Висок")</f>
        <v/>
      </c>
    </row>
    <row r="22">
      <c r="A22" s="15" t="inlineStr">
        <is>
          <t>Aging група</t>
        </is>
      </c>
      <c r="B22" s="15" t="inlineStr">
        <is>
          <t>Брой клиенти</t>
        </is>
      </c>
      <c r="C22" s="15" t="inlineStr">
        <is>
          <t>Остатък</t>
        </is>
      </c>
      <c r="E22" s="15" t="inlineStr">
        <is>
          <t>Статус контакт</t>
        </is>
      </c>
      <c r="F22" s="15" t="inlineStr">
        <is>
          <t>Брой клиенти</t>
        </is>
      </c>
      <c r="G22" s="15" t="inlineStr">
        <is>
          <t>Остатък</t>
        </is>
      </c>
    </row>
    <row r="23">
      <c r="A23" s="20" t="inlineStr">
        <is>
          <t>1-5 дни</t>
        </is>
      </c>
      <c r="B23" s="20">
        <f>COUNTIF('Данни'!L:L,A23)</f>
        <v/>
      </c>
      <c r="C23" s="21">
        <f>SUMIF('Данни'!L:L,A23,'Данни'!J:J)</f>
        <v/>
      </c>
      <c r="E23" s="20" t="inlineStr">
        <is>
          <t>Неоткрит</t>
        </is>
      </c>
      <c r="F23" s="20">
        <f>COUNTIF('Данни'!G:G,E23)</f>
        <v/>
      </c>
      <c r="G23" s="21">
        <f>SUMIF('Данни'!G:G,E23,'Данни'!J:J)</f>
        <v/>
      </c>
    </row>
    <row r="24">
      <c r="A24" s="20" t="inlineStr">
        <is>
          <t>6-15 дни</t>
        </is>
      </c>
      <c r="B24" s="20">
        <f>COUNTIF('Данни'!L:L,A24)</f>
        <v/>
      </c>
      <c r="C24" s="21">
        <f>SUMIF('Данни'!L:L,A24,'Данни'!J:J)</f>
        <v/>
      </c>
      <c r="E24" s="20" t="inlineStr">
        <is>
          <t>Обаден</t>
        </is>
      </c>
      <c r="F24" s="20">
        <f>COUNTIF('Данни'!G:G,E24)</f>
        <v/>
      </c>
      <c r="G24" s="21">
        <f>SUMIF('Данни'!G:G,E24,'Данни'!J:J)</f>
        <v/>
      </c>
    </row>
    <row r="25">
      <c r="A25" s="20" t="inlineStr">
        <is>
          <t>16-30 дни</t>
        </is>
      </c>
      <c r="B25" s="20">
        <f>COUNTIF('Данни'!L:L,A25)</f>
        <v/>
      </c>
      <c r="C25" s="21">
        <f>SUMIF('Данни'!L:L,A25,'Данни'!J:J)</f>
        <v/>
      </c>
      <c r="E25" s="20" t="inlineStr">
        <is>
          <t>Обещание за плащане</t>
        </is>
      </c>
      <c r="F25" s="20">
        <f>COUNTIF('Данни'!G:G,E25)</f>
        <v/>
      </c>
      <c r="G25" s="21">
        <f>SUMIF('Данни'!G:G,E25,'Данни'!J:J)</f>
        <v/>
      </c>
    </row>
    <row r="26">
      <c r="A26" s="20" t="inlineStr">
        <is>
          <t>30+ дни</t>
        </is>
      </c>
      <c r="B26" s="20">
        <f>COUNTIF('Данни'!L:L,A26)</f>
        <v/>
      </c>
      <c r="C26" s="21">
        <f>SUMIF('Данни'!L:L,A26,'Данни'!J:J)</f>
        <v/>
      </c>
      <c r="E26" s="20" t="inlineStr">
        <is>
          <t>Частично плащане</t>
        </is>
      </c>
      <c r="F26" s="20">
        <f>COUNTIF('Данни'!G:G,E26)</f>
        <v/>
      </c>
      <c r="G26" s="21">
        <f>SUMIF('Данни'!G:G,E26,'Данни'!J:J)</f>
        <v/>
      </c>
    </row>
    <row r="27">
      <c r="A27" s="20" t="inlineStr">
        <is>
          <t>Непросрочен</t>
        </is>
      </c>
      <c r="B27" s="20">
        <f>COUNTIF('Данни'!L:L,A27)</f>
        <v/>
      </c>
      <c r="C27" s="21">
        <f>SUMIF('Данни'!L:L,A27,'Данни'!J:J)</f>
        <v/>
      </c>
      <c r="E27" s="20" t="inlineStr">
        <is>
          <t>Отказва плащане</t>
        </is>
      </c>
      <c r="F27" s="20">
        <f>COUNTIF('Данни'!G:G,E27)</f>
        <v/>
      </c>
      <c r="G27" s="21">
        <f>SUMIF('Данни'!G:G,E27,'Данни'!J:J)</f>
        <v/>
      </c>
    </row>
    <row r="28">
      <c r="E28" s="20" t="inlineStr">
        <is>
          <t>Платено</t>
        </is>
      </c>
      <c r="F28" s="20">
        <f>COUNTIF('Данни'!G:G,E28)</f>
        <v/>
      </c>
      <c r="G28" s="21">
        <f>SUMIF('Данни'!G:G,E28,'Данни'!J:J)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8" t="inlineStr">
        <is>
          <t>Задачи за подготовка</t>
        </is>
      </c>
    </row>
    <row r="3">
      <c r="A3" s="15" t="inlineStr">
        <is>
          <t>Стъпка</t>
        </is>
      </c>
      <c r="B3" s="15" t="inlineStr">
        <is>
          <t>Описание</t>
        </is>
      </c>
    </row>
    <row r="4">
      <c r="A4" s="2" t="inlineStr">
        <is>
          <t>Цел</t>
        </is>
      </c>
      <c r="B4" s="2" t="inlineStr">
        <is>
          <t>Упражнение за интервю: ръководител екип събираемост, кредитни карти с падеж 1-5 число и работа до 30 дни просрочие.</t>
        </is>
      </c>
    </row>
    <row r="5">
      <c r="A5" s="2" t="inlineStr">
        <is>
          <t>1</t>
        </is>
      </c>
      <c r="B5" s="2" t="inlineStr">
        <is>
          <t>В лист Данни филтрирай само клиентите с "В обхват 1-30" = Да и Остатък &gt; 0.</t>
        </is>
      </c>
    </row>
    <row r="6">
      <c r="A6" s="2" t="inlineStr">
        <is>
          <t>2</t>
        </is>
      </c>
      <c r="B6" s="2" t="inlineStr">
        <is>
          <t>Сортирай по Приоритет = Висок и после по Остатък от най-голям към най-малък.</t>
        </is>
      </c>
    </row>
    <row r="7">
      <c r="A7" s="2" t="inlineStr">
        <is>
          <t>3</t>
        </is>
      </c>
      <c r="B7" s="2" t="inlineStr">
        <is>
          <t>Обясни кои 5 клиента би дал първо за контакт и защо.</t>
        </is>
      </c>
    </row>
    <row r="8">
      <c r="A8" s="2" t="inlineStr">
        <is>
          <t>4</t>
        </is>
      </c>
      <c r="B8" s="2" t="inlineStr">
        <is>
          <t>В KPI виж кой служител има най-висок % събираемост и кой има най-голям остатък.</t>
        </is>
      </c>
    </row>
    <row r="9">
      <c r="A9" s="2" t="inlineStr">
        <is>
          <t>5</t>
        </is>
      </c>
      <c r="B9" s="2" t="inlineStr">
        <is>
          <t>Направи Pivot Table: Rows = Служител, Values = Sum of Остатък и Sum of Платена сума.</t>
        </is>
      </c>
    </row>
    <row r="10">
      <c r="A10" s="2" t="inlineStr">
        <is>
          <t>6</t>
        </is>
      </c>
      <c r="B10" s="2" t="inlineStr">
        <is>
          <t>Направи втори Pivot Table: Rows = Aging група, Columns = Приоритет, Values = Count of ID клиент.</t>
        </is>
      </c>
    </row>
    <row r="11">
      <c r="A11" s="2" t="inlineStr">
        <is>
          <t>7</t>
        </is>
      </c>
      <c r="B11" s="2" t="inlineStr">
        <is>
          <t>Подготви кратък управленски коментар: риск, приоритети за деня, кой служител има нужда от подкрепа.</t>
        </is>
      </c>
    </row>
    <row r="12">
      <c r="A12" s="2" t="inlineStr">
        <is>
          <t>Формула за остатък</t>
        </is>
      </c>
      <c r="B12" s="2">
        <f>MAX(0,E2-F2)</f>
        <v/>
      </c>
    </row>
    <row r="13">
      <c r="A13" s="2" t="inlineStr">
        <is>
          <t>Формула за дни просрочие</t>
        </is>
      </c>
      <c r="B13" s="2">
        <f>MAX(0,'Настройки'!$B$1-D2)</f>
        <v/>
      </c>
    </row>
    <row r="14">
      <c r="A14" s="2" t="inlineStr">
        <is>
          <t>Формула за обхват</t>
        </is>
      </c>
      <c r="B14" s="2">
        <f>IF(AND(K2&gt;=1,K2&lt;=30,J2&gt;0),"Да","Не")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2026-06-24T13:53:13Z</dcterms:created>
  <dcterms:modified xsi:type="dcterms:W3CDTF">2026-06-24T13:53:13Z</dcterms:modified>
</cp:coreProperties>
</file>